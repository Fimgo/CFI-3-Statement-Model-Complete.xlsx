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351a47972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" r:id="Ra722de96f3424219"/>
    <x:sheet xmlns:r="http://schemas.openxmlformats.org/officeDocument/2006/relationships" name="3 Statement Model" sheetId="2" r:id="Rab5b75cca4504530"/>
    <x:sheet xmlns:r="http://schemas.openxmlformats.org/officeDocument/2006/relationships" name="Practice Cash Flow_Balance" sheetId="3" r:id="R550827ab74d745e7"/>
    <x:sheet xmlns:r="http://schemas.openxmlformats.org/officeDocument/2006/relationships" name="Відповіді" sheetId="4" r:id="Ra974a28af692403e"/>
  </x:sheets>
  <x:definedNames>
    <x:definedName name="asd">#REF!</x:definedName>
    <x:definedName name="Forecast">#REF!</x:definedName>
    <x:definedName name="Step_1">#REF!</x:definedName>
    <x:definedName name="Step_2">#REF!</x:definedName>
    <x:definedName name="Step_3">#REF!</x:definedName>
    <x:definedName name="Step_4">#REF!</x:definedName>
    <x:definedName name="Step_5">#REF!</x:definedName>
    <x:definedName name="Step_6">#REF!</x:definedName>
    <x:definedName name="Step1">#REF!</x:definedName>
    <x:definedName name="Step2">#REF!</x:definedName>
    <x:definedName name="Step3">#REF!</x:definedName>
    <x:definedName name="Step4">#REF!</x:definedName>
    <x:definedName name="Step5">#REF!</x:definedName>
    <x:definedName name="Step6">#REF!</x:definedName>
    <x:definedName name="Forecast" localSheetId="1">#REF!</x:definedName>
    <x:definedName name="Step_1" localSheetId="1">#REF!</x:definedName>
    <x:definedName name="Step_2" localSheetId="1">#REF!</x:definedName>
    <x:definedName name="Step_3" localSheetId="1">#REF!</x:definedName>
    <x:definedName name="Step_4" localSheetId="1">#REF!</x:definedName>
    <x:definedName name="Step_5" localSheetId="1">#REF!</x:definedName>
    <x:definedName name="Step_6" localSheetId="1">#REF!</x:definedName>
    <x:definedName name="Forecast" localSheetId="2">#REF!</x:definedName>
    <x:definedName name="Step_1" localSheetId="2">#REF!</x:definedName>
    <x:definedName name="Step_2" localSheetId="2">#REF!</x:definedName>
    <x:definedName name="Step_3" localSheetId="2">#REF!</x:definedName>
    <x:definedName name="Step_4" localSheetId="2">#REF!</x:definedName>
    <x:definedName name="Step_5" localSheetId="2">#REF!</x:definedName>
    <x:definedName name="Step_6" localSheetId="2">#REF!</x:definedName>
  </x:definedNames>
</x:workbook>
</file>

<file path=xl/sharedStrings.xml><?xml version="1.0" encoding="utf-8"?>
<x:sst xmlns:x="http://schemas.openxmlformats.org/spreadsheetml/2006/main">
  <x:si>
    <x:t xml:space="preserve">3 Statement Model</x:t>
  </x:si>
  <x:si>
    <x:t xml:space="preserve">Strictly Confidential</x:t>
  </x:si>
  <x:si>
    <x:t xml:space="preserve">Table of Contents</x:t>
  </x:si>
  <x:si>
    <x:t xml:space="preserve">Notes</x:t>
  </x:si>
  <x:si>
    <x:t xml:space="preserve">This Excel model is for educational purposes only and should not be used for any other reason.</x:t>
  </x:si>
  <x:si>
    <x:t xml:space="preserve">All content is Copyright material of CFI Education Inc.</x:t>
  </x:si>
  <x:si>
    <x:t xml:space="preserve">https://corporatefinanceinstitute.com/</x:t>
  </x:si>
  <x:si>
    <x:t xml:space="preserve">© 2019 CFI Education Inc.</x:t>
  </x:si>
  <x:si>
    <x:t xml:space="preserve">All rights reserved.  The contents of this publication, including but not limited to all written material, content layout, images, formulas, and code, are protected under international copyright and trademark laws.  </x:t>
  </x:si>
  <x:si>
    <x:t xml:space="preserve">No part of this publication may be modified, manipulated, reproduced, distributed, or transmitted in any form by any means, including photocopying, recording, or other electronic or mechanical methods, </x:t>
  </x:si>
  <x:si>
    <x:t xml:space="preserve">without prior written permission of the publisher, except in the case of certain noncommercial uses permitted by copyright law.</x:t>
  </x:si>
  <x:si>
    <x:t xml:space="preserve">© Corporate Finance Institute®. All rights reserved.</x:t>
  </x:si>
  <x:si>
    <x:t xml:space="preserve">Historical Results</x:t>
  </x:si>
  <x:si>
    <x:t xml:space="preserve"> Forecast Period</x:t>
  </x:si>
  <x:si>
    <x:t xml:space="preserve">FINANCIAL STATEMENTS</x:t>
  </x:si>
  <x:si>
    <x:t xml:space="preserve">Balance Sheet Check</x:t>
  </x:si>
  <x:si>
    <x:t xml:space="preserve">Assumptions</x:t>
  </x:si>
  <x:si>
    <x:t xml:space="preserve">Income statement</x:t>
  </x:si>
  <x:si>
    <x:t xml:space="preserve">Revenue Growth (% Change)</x:t>
  </x:si>
  <x:si>
    <x:t xml:space="preserve">Cost of Goods Sold (% of Revenue)</x:t>
  </x:si>
  <x:si>
    <x:t xml:space="preserve">Salaries and Benefits ($000's)</x:t>
  </x:si>
  <x:si>
    <x:t xml:space="preserve">Rent and Overhead ($000's)</x:t>
  </x:si>
  <x:si>
    <x:t xml:space="preserve">Depreciation &amp; Amortization (% of PP&amp;E Open Bal)</x:t>
  </x:si>
  <x:si>
    <x:t xml:space="preserve">Interest (% of Debt Open Bal)</x:t>
  </x:si>
  <x:si>
    <x:t xml:space="preserve">Tax Rate (% of Earnings Before Tax)</x:t>
  </x:si>
  <x:si>
    <x:t xml:space="preserve">Balance Sheet</x:t>
  </x:si>
  <x:si>
    <x:t xml:space="preserve">Accounts Receivable (Days)</x:t>
  </x:si>
  <x:si>
    <x:t xml:space="preserve">Inventory (Days)</x:t>
  </x:si>
  <x:si>
    <x:t xml:space="preserve">Accounts Payable (Days)</x:t>
  </x:si>
  <x:si>
    <x:t xml:space="preserve">Capital Expenditures ($000's)</x:t>
  </x:si>
  <x:si>
    <x:t xml:space="preserve">Debt Issuance (Repayment) ($000's)</x:t>
  </x:si>
  <x:si>
    <x:t xml:space="preserve">Equity Issued (Repaid) ($000's)</x:t>
  </x:si>
  <x:si>
    <x:t xml:space="preserve">Income Statement</x:t>
  </x:si>
  <x:si>
    <x:t xml:space="preserve">Reveneue</x:t>
  </x:si>
  <x:si>
    <x:t xml:space="preserve">Cost of Goods Sold (COGS)</x:t>
  </x:si>
  <x:si>
    <x:t xml:space="preserve">Gross Profit</x:t>
  </x:si>
  <x:si>
    <x:t xml:space="preserve">Expenses</x:t>
  </x:si>
  <x:si>
    <x:t xml:space="preserve">Salaries and Benefits</x:t>
  </x:si>
  <x:si>
    <x:t xml:space="preserve">Rent and Overhead</x:t>
  </x:si>
  <x:si>
    <x:t xml:space="preserve">Depreciation &amp; Amortization</x:t>
  </x:si>
  <x:si>
    <x:t xml:space="preserve">Interest</x:t>
  </x:si>
  <x:si>
    <x:t xml:space="preserve">Total Expenses</x:t>
  </x:si>
  <x:si>
    <x:t xml:space="preserve">Earnings Before Tax</x:t>
  </x:si>
  <x:si>
    <x:t xml:space="preserve">Taxes</x:t>
  </x:si>
  <x:si>
    <x:t xml:space="preserve">Net Earnings</x:t>
  </x:si>
  <x:si>
    <x:t xml:space="preserve">Assets</x:t>
  </x:si>
  <x:si>
    <x:t xml:space="preserve">Cash</x:t>
  </x:si>
  <x:si>
    <x:t xml:space="preserve">Accounts Receivable</x:t>
  </x:si>
  <x:si>
    <x:t xml:space="preserve">Inventory</x:t>
  </x:si>
  <x:si>
    <x:t xml:space="preserve">Property &amp; Equipment</x:t>
  </x:si>
  <x:si>
    <x:t xml:space="preserve">Total Assets</x:t>
  </x:si>
  <x:si>
    <x:t xml:space="preserve">Liabilities</x:t>
  </x:si>
  <x:si>
    <x:t xml:space="preserve">Accounts Payable</x:t>
  </x:si>
  <x:si>
    <x:t xml:space="preserve">Debt</x:t>
  </x:si>
  <x:si>
    <x:t xml:space="preserve">Total Liabilities</x:t>
  </x:si>
  <x:si>
    <x:t xml:space="preserve">Shareholder's Equity</x:t>
  </x:si>
  <x:si>
    <x:t xml:space="preserve">Equity Capital</x:t>
  </x:si>
  <x:si>
    <x:t xml:space="preserve">Retained Earnings</x:t>
  </x:si>
  <x:si>
    <x:t xml:space="preserve">Total Liabilities &amp; Shareholder's Equity</x:t>
  </x:si>
  <x:si>
    <x:t xml:space="preserve">Check</x:t>
  </x:si>
  <x:si>
    <x:t xml:space="preserve">Cash Flow Statement</x:t>
  </x:si>
  <x:si>
    <x:t xml:space="preserve">Operating Cash Flow</x:t>
  </x:si>
  <x:si>
    <x:t xml:space="preserve">Plus: Depreciation &amp; Amortization</x:t>
  </x:si>
  <x:si>
    <x:t xml:space="preserve">Less: Changes in Working Capital</x:t>
  </x:si>
  <x:si>
    <x:t xml:space="preserve">Cash from Operations</x:t>
  </x:si>
  <x:si>
    <x:t xml:space="preserve">Investing Cash Flow</x:t>
  </x:si>
  <x:si>
    <x:t xml:space="preserve">Investments in Property &amp; Equipment</x:t>
  </x:si>
  <x:si>
    <x:t xml:space="preserve">Cash from Investing</x:t>
  </x:si>
  <x:si>
    <x:t xml:space="preserve">Financing Cash Flow</x:t>
  </x:si>
  <x:si>
    <x:t xml:space="preserve">Issuance (repayment) of debt</x:t>
  </x:si>
  <x:si>
    <x:t xml:space="preserve">Issuance (repayment) of equity</x:t>
  </x:si>
  <x:si>
    <x:t xml:space="preserve">Cash from Financing</x:t>
  </x:si>
  <x:si>
    <x:t xml:space="preserve">Net Increase (decrease) in Cash</x:t>
  </x:si>
  <x:si>
    <x:t xml:space="preserve">Opening Cash Balance</x:t>
  </x:si>
  <x:si>
    <x:t xml:space="preserve">Closing Cash Balance</x:t>
  </x:si>
  <x:si>
    <x:t xml:space="preserve">Supporting Schedules</x:t>
  </x:si>
  <x:si>
    <x:t xml:space="preserve">Working Capital Schedule</x:t>
  </x:si>
  <x:si>
    <x:t xml:space="preserve">Net Working Capital (NWC)</x:t>
  </x:si>
  <x:si>
    <x:t xml:space="preserve">Change in NWC</x:t>
  </x:si>
  <x:si>
    <x:t xml:space="preserve">Depreciation Schedule</x:t>
  </x:si>
  <x:si>
    <x:t xml:space="preserve">PPE Opening</x:t>
  </x:si>
  <x:si>
    <x:t xml:space="preserve">Plus Capex</x:t>
  </x:si>
  <x:si>
    <x:t xml:space="preserve">Less Depreciation</x:t>
  </x:si>
  <x:si>
    <x:t xml:space="preserve">PPE Closing</x:t>
  </x:si>
  <x:si>
    <x:t xml:space="preserve">Debt &amp; Interest Schedule</x:t>
  </x:si>
  <x:si>
    <x:t xml:space="preserve">Debt Opening</x:t>
  </x:si>
  <x:si>
    <x:t xml:space="preserve">Issuance (repayment)</x:t>
  </x:si>
  <x:si>
    <x:t xml:space="preserve">Debt Closing</x:t>
  </x:si>
  <x:si>
    <x:t xml:space="preserve">Interest Expense</x:t>
  </x:si>
  <x:si>
    <x:t xml:space="preserve">Charts and Graphs</x:t>
  </x:si>
  <x:si>
    <x:t xml:space="preserve">Revenue</x:t>
  </x:si>
  <x:si>
    <x:t xml:space="preserve">Earning Before Tax</x:t>
  </x:si>
  <x:si>
    <x:t xml:space="preserve">This file is for educational purposes only. E&amp;OE</x:t>
  </x:si>
  <x:si>
    <x:t xml:space="preserve">Corporate Finance Institute® </x:t>
  </x:si>
</x:sst>
</file>

<file path=xl/styles.xml><?xml version="1.0" encoding="utf-8"?>
<x:styleSheet xmlns:x="http://schemas.openxmlformats.org/spreadsheetml/2006/main">
  <x:numFmts count="8">
    <x:numFmt numFmtId="164" formatCode="_-* #,##0_-;\(#,##0\)_-;_-* &quot;-&quot;_-;_-@"/>
    <x:numFmt numFmtId="165" formatCode="0.0%"/>
    <x:numFmt numFmtId="166" formatCode="_(* #,##0_);_(* \(#,##0\);_(* &quot;-&quot;??_);_(@_)"/>
    <x:numFmt numFmtId="167" formatCode="_-* #,##0_-;\-* #,##0_-;_-* &quot;-&quot;??_-;_-@"/>
    <x:numFmt numFmtId="168" formatCode="0.0000_ ;\-0.0000\ "/>
    <x:numFmt numFmtId="169" formatCode="0.000"/>
    <x:numFmt numFmtId="170" formatCode="_ * #,##0_ ;_ * \-#,##0_ ;_ * &quot;-&quot;??_ ;_ @_ "/>
    <x:numFmt numFmtId="200" formatCode="#,##0;[Red](#,##0);-"/>
  </x:numFmts>
  <x:fonts count="22">
    <x:font>
      <x:sz val="11"/>
      <x:color theme="1"/>
      <x:name val="Calibri"/>
    </x:font>
    <x:font>
      <x:sz val="11"/>
      <x:color theme="1"/>
      <x:name val="Arial Narrow"/>
    </x:font>
    <x:font>
      <x:b/>
      <x:sz val="22"/>
      <x:color theme="1"/>
      <x:name val="Arial Narrow"/>
    </x:font>
    <x:font>
      <x:b/>
      <x:sz val="11"/>
      <x:color theme="1"/>
      <x:name val="Arial Narrow"/>
    </x:font>
    <x:font>
      <x:sz val="11"/>
      <x:color rgb="0000FF"/>
      <x:name val="Arial Narrow"/>
    </x:font>
    <x:font>
      <x:sz val="10"/>
      <x:color rgb="132E57"/>
      <x:name val="Arial"/>
    </x:font>
    <x:font>
      <x:sz val="10"/>
      <x:color theme="1"/>
      <x:name val="Arial"/>
    </x:font>
    <x:font>
      <x:sz val="11"/>
      <x:color theme="0"/>
      <x:name val="Arial Narrow"/>
    </x:font>
    <x:font>
      <x:sz val="12"/>
      <x:color theme="1"/>
      <x:name val="Arial Narrow"/>
    </x:font>
    <x:font>
      <x:sz val="8"/>
      <x:color theme="0"/>
      <x:name val="Arial Narrow"/>
    </x:font>
    <x:font>
      <x:b/>
      <x:sz val="12"/>
      <x:color theme="0"/>
      <x:name val="Arial Narrow"/>
    </x:font>
    <x:font>
      <x:sz val="11"/>
      <x:name val="Calibri"/>
    </x:font>
    <x:font>
      <x:b/>
      <x:sz val="16"/>
      <x:color theme="0"/>
      <x:name val="Arial Narrow"/>
    </x:font>
    <x:font>
      <x:b/>
      <x:sz val="14"/>
      <x:color theme="0"/>
      <x:name val="Arial Narrow"/>
    </x:font>
    <x:font>
      <x:i/>
      <x:sz val="12"/>
      <x:color theme="1"/>
      <x:name val="Arial Narrow"/>
    </x:font>
    <x:font>
      <x:b/>
      <x:sz val="12"/>
      <x:color theme="1"/>
      <x:name val="Arial Narrow"/>
    </x:font>
    <x:font>
      <x:sz val="12"/>
      <x:color rgb="0000FF"/>
      <x:name val="Arial Narrow"/>
    </x:font>
    <x:font>
      <x:b/>
      <x:sz val="12"/>
      <x:color rgb="0000FF"/>
      <x:name val="Arial Narrow"/>
    </x:font>
    <x:font>
      <x:sz val="12"/>
      <x:color theme="1"/>
      <x:name val="Calibri"/>
    </x:font>
    <x:font>
      <x:sz val="12"/>
      <x:color rgb="0070C0"/>
      <x:name val="Calibri"/>
    </x:font>
    <x:font>
      <x:sz val="11"/>
      <x:color theme="1"/>
      <x:name val="Open Sans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ED942D"/>
      </x:patternFill>
    </x:fill>
    <x:fill>
      <x:patternFill patternType="solid">
        <x:fgColor rgb="132E57"/>
      </x:patternFill>
    </x:fill>
    <x:fill>
      <x:patternFill patternType="solid">
        <x:fgColor theme="0"/>
      </x:patternFill>
    </x:fill>
    <x:fill>
      <x:patternFill patternType="solid">
        <x:fgColor theme="6"/>
      </x:patternFill>
    </x:fill>
    <x:fill>
      <x:patternFill patternType="solid">
        <x:fgColor rgb="1F4E78"/>
      </x:patternFill>
    </x:fill>
  </x:fills>
  <x:borders count="18">
    <x:border/>
    <x:border/>
    <x:border>
      <x:top style="thin">
        <x:color rgb="000000"/>
      </x:top>
    </x:border>
    <x:border/>
    <x:border/>
    <x:border/>
    <x:border>
      <x:bottom style="thin">
        <x:color rgb="000000"/>
      </x:bottom>
    </x:border>
    <x:border>
      <x:top style="thin">
        <x:color rgb="000000"/>
      </x:top>
      <x:bottom style="double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>
        <x:color rgb="D9EAF7"/>
      </x:right>
      <x:bottom>
        <x:color rgb="D9EAF7"/>
      </x:bottom>
    </x:border>
    <x:border>
      <x:left>
        <x:color rgb="D9EAF7"/>
      </x:left>
      <x:right>
        <x:color rgb="D9EAF7"/>
      </x:right>
      <x:bottom>
        <x:color rgb="D9EAF7"/>
      </x:bottom>
    </x:border>
    <x:border>
      <x:left>
        <x:color rgb="D9EAF7"/>
      </x:left>
      <x:bottom>
        <x:color rgb="D9EAF7"/>
      </x:bottom>
    </x:border>
    <x:border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top>
        <x:color rgb="D9EAF7"/>
      </x:top>
      <x:bottom>
        <x:color rgb="D9EAF7"/>
      </x:bottom>
    </x:border>
    <x:border>
      <x:right>
        <x:color rgb="D9EAF7"/>
      </x:right>
      <x:top>
        <x:color rgb="D9EAF7"/>
      </x:top>
      <x:bottom>
        <x:color rgb="9EADBD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9EADBD"/>
      </x:bottom>
    </x:border>
    <x:border>
      <x:left>
        <x:color rgb="D9EAF7"/>
      </x:left>
      <x:top>
        <x:color rgb="D9EAF7"/>
      </x:top>
      <x:bottom>
        <x:color rgb="9EADBD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2" borderId="1" xfId="0" applyFont="1" applyFill="1" applyBorder="1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horizontal="right"/>
    </x:xf>
    <x:xf numFmtId="0" fontId="3" fillId="0" borderId="0" xfId="0" applyFont="1"/>
    <x:xf numFmtId="0" fontId="4" fillId="0" borderId="2" xfId="0" applyFont="1" applyBorder="1"/>
    <x:xf numFmtId="0" fontId="5" fillId="0" borderId="0" xfId="0" applyFont="1"/>
    <x:xf numFmtId="0" fontId="1" fillId="0" borderId="2" xfId="0" applyFont="1" applyBorder="1"/>
    <x:xf numFmtId="0" fontId="6" fillId="0" borderId="0" xfId="0" applyFont="1"/>
    <x:xf numFmtId="0" fontId="7" fillId="3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164" fontId="8" fillId="3" borderId="1" xfId="0" applyNumberFormat="1" applyFont="1" applyFill="1" applyBorder="1"/>
    <x:xf numFmtId="164" fontId="9" fillId="3" borderId="1" xfId="0" applyNumberFormat="1" applyFont="1" applyFill="1" applyBorder="1"/>
    <x:xf numFmtId="164" fontId="8" fillId="3" borderId="1" xfId="0" applyNumberFormat="1" applyFont="1" applyFill="1" applyBorder="1" applyAlignment="1">
      <x:alignment horizontal="center"/>
    </x:xf>
    <x:xf numFmtId="164" fontId="8" fillId="0" borderId="0" xfId="0" applyNumberFormat="1" applyFont="1"/>
    <x:xf numFmtId="164" fontId="12" fillId="3" borderId="1" xfId="0" applyNumberFormat="1" applyFont="1" applyFill="1" applyBorder="1"/>
    <x:xf numFmtId="164" fontId="13" fillId="3" borderId="1" xfId="0" applyNumberFormat="1" applyFont="1" applyFill="1" applyBorder="1"/>
    <x:xf numFmtId="164" fontId="13" fillId="3" borderId="1" xfId="0" applyNumberFormat="1" applyFont="1" applyFill="1" applyBorder="1" applyAlignment="1">
      <x:alignment horizontal="center"/>
    </x:xf>
    <x:xf numFmtId="0" fontId="13" fillId="5" borderId="1" xfId="0" applyFont="1" applyFill="1" applyBorder="1"/>
    <x:xf numFmtId="0" fontId="12" fillId="3" borderId="1" xfId="0" applyFont="1" applyFill="1" applyBorder="1"/>
    <x:xf numFmtId="164" fontId="8" fillId="0" borderId="0" xfId="0" applyNumberFormat="1" applyFont="1" applyAlignment="1">
      <x:alignment horizontal="center"/>
    </x:xf>
    <x:xf numFmtId="164" fontId="14" fillId="0" borderId="0" xfId="0" applyNumberFormat="1" applyFont="1" applyAlignment="1">
      <x:alignment horizontal="right"/>
    </x:xf>
    <x:xf numFmtId="37" fontId="13" fillId="2" borderId="1" xfId="0" applyNumberFormat="1" applyFont="1" applyFill="1" applyBorder="1" applyAlignment="1">
      <x:alignment vertical="center"/>
    </x:xf>
    <x:xf numFmtId="164" fontId="15" fillId="0" borderId="0" xfId="0" applyNumberFormat="1" applyFont="1"/>
    <x:xf numFmtId="164" fontId="15" fillId="0" borderId="0" xfId="0" applyNumberFormat="1" applyFont="1" applyAlignment="1">
      <x:alignment horizontal="center"/>
    </x:xf>
    <x:xf numFmtId="165" fontId="8" fillId="0" borderId="0" xfId="0" applyNumberFormat="1" applyFont="1"/>
    <x:xf numFmtId="165" fontId="16" fillId="0" borderId="0" xfId="0" applyNumberFormat="1" applyFont="1"/>
    <x:xf numFmtId="164" fontId="16" fillId="0" borderId="0" xfId="0" applyNumberFormat="1" applyFont="1"/>
    <x:xf numFmtId="164" fontId="14" fillId="0" borderId="0" xfId="0" applyNumberFormat="1" applyFont="1"/>
    <x:xf numFmtId="164" fontId="14" fillId="0" borderId="0" xfId="0" applyNumberFormat="1" applyFont="1" applyAlignment="1">
      <x:alignment horizontal="center"/>
    </x:xf>
    <x:xf numFmtId="9" fontId="16" fillId="0" borderId="0" xfId="0" applyNumberFormat="1" applyFont="1" applyAlignment="1">
      <x:alignment horizontal="center"/>
    </x:xf>
    <x:xf numFmtId="164" fontId="17" fillId="0" borderId="0" xfId="0" applyNumberFormat="1" applyFont="1"/>
    <x:xf numFmtId="166" fontId="8" fillId="0" borderId="0" xfId="0" applyNumberFormat="1" applyFont="1"/>
    <x:xf numFmtId="164" fontId="15" fillId="0" borderId="2" xfId="0" applyNumberFormat="1" applyFont="1" applyBorder="1"/>
    <x:xf numFmtId="164" fontId="15" fillId="0" borderId="2" xfId="0" applyNumberFormat="1" applyFont="1" applyBorder="1" applyAlignment="1">
      <x:alignment horizontal="center"/>
    </x:xf>
    <x:xf numFmtId="164" fontId="8" fillId="0" borderId="6" xfId="0" applyNumberFormat="1" applyFont="1" applyBorder="1"/>
    <x:xf numFmtId="164" fontId="8" fillId="0" borderId="6" xfId="0" applyNumberFormat="1" applyFont="1" applyBorder="1" applyAlignment="1">
      <x:alignment horizontal="center"/>
    </x:xf>
    <x:xf numFmtId="164" fontId="16" fillId="0" borderId="6" xfId="0" applyNumberFormat="1" applyFont="1" applyBorder="1"/>
    <x:xf numFmtId="164" fontId="15" fillId="0" borderId="7" xfId="0" applyNumberFormat="1" applyFont="1" applyBorder="1"/>
    <x:xf numFmtId="164" fontId="15" fillId="0" borderId="7" xfId="0" applyNumberFormat="1" applyFont="1" applyBorder="1" applyAlignment="1">
      <x:alignment horizontal="center"/>
    </x:xf>
    <x:xf numFmtId="167" fontId="8" fillId="0" borderId="0" xfId="0" applyNumberFormat="1" applyFont="1"/>
    <x:xf numFmtId="164" fontId="15" fillId="0" borderId="8" xfId="0" applyNumberFormat="1" applyFont="1" applyBorder="1"/>
    <x:xf numFmtId="164" fontId="15" fillId="0" borderId="8" xfId="0" applyNumberFormat="1" applyFont="1" applyBorder="1" applyAlignment="1">
      <x:alignment horizontal="center"/>
    </x:xf>
    <x:xf numFmtId="168" fontId="14" fillId="0" borderId="0" xfId="0" applyNumberFormat="1" applyFont="1"/>
    <x:xf numFmtId="168" fontId="14" fillId="0" borderId="0" xfId="0" applyNumberFormat="1" applyFont="1" applyAlignment="1">
      <x:alignment horizontal="center"/>
    </x:xf>
    <x:xf numFmtId="169" fontId="14" fillId="0" borderId="0" xfId="0" applyNumberFormat="1" applyFont="1"/>
    <x:xf numFmtId="164" fontId="8" fillId="0" borderId="2" xfId="0" applyNumberFormat="1" applyFont="1" applyBorder="1"/>
    <x:xf numFmtId="164" fontId="8" fillId="0" borderId="2" xfId="0" applyNumberFormat="1" applyFont="1" applyBorder="1" applyAlignment="1">
      <x:alignment horizontal="center"/>
    </x:xf>
    <x:xf numFmtId="0" fontId="18" fillId="0" borderId="0" xfId="0" applyFont="1"/>
    <x:xf numFmtId="0" fontId="14" fillId="0" borderId="0" xfId="0" applyFont="1"/>
    <x:xf numFmtId="170" fontId="18" fillId="0" borderId="0" xfId="0" applyNumberFormat="1" applyFont="1"/>
    <x:xf numFmtId="0" fontId="19" fillId="0" borderId="0" xfId="0" applyFont="1"/>
    <x:xf numFmtId="0" fontId="20" fillId="0" borderId="0" xfId="0" applyFont="1"/>
    <x:xf numFmtId="164" fontId="10" fillId="5" borderId="3" xfId="0" applyNumberFormat="1" applyFont="1" applyFill="1" applyBorder="1" applyAlignment="1">
      <x:alignment horizontal="center"/>
    </x:xf>
    <x:xf numFmtId="0" fontId="11" fillId="0" borderId="4" xfId="0" applyFont="1" applyBorder="1"/>
    <x:xf numFmtId="0" fontId="11" fillId="0" borderId="5" xfId="0" applyFont="1" applyBorder="1"/>
    <x:xf numFmtId="164" fontId="10" fillId="3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1" fillId="6" borderId="9" xfId="0" applyNumberFormat="1" applyFont="1" applyFill="1" applyBorder="1" applyAlignment="1">
      <x:alignment wrapText="1"/>
    </x:xf>
    <x:xf numFmtId="0" fontId="21" fillId="6" borderId="10" xfId="0" applyNumberFormat="1" applyFont="1" applyFill="1" applyBorder="1" applyAlignment="1">
      <x:alignment wrapText="1"/>
    </x:xf>
    <x:xf numFmtId="0" fontId="21" fillId="6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0" fontId="15" fillId="0" borderId="7" xfId="0" applyNumberFormat="1" applyFont="1" applyFill="1" applyBorder="1"/>
    <x:xf numFmtId="200" fontId="15" fillId="0" borderId="0" xfId="0" applyNumberFormat="1" applyFont="1" applyFill="1" applyBorder="1"/>
    <x:xf numFmtId="200" fontId="15" fillId="0" borderId="2" xfId="0" applyNumberFormat="1" applyFont="1" applyFill="1" applyBorder="1"/>
    <x:xf numFmtId="200" fontId="15" fillId="0" borderId="8" xfId="0" applyNumberFormat="1" applyFont="1" applyFill="1" applyBorder="1"/>
    <x:xf numFmtId="200" fontId="16" fillId="0" borderId="0" xfId="0" applyNumberFormat="1" applyFont="1" applyFill="1" applyBorder="1"/>
    <x:xf numFmtId="200" fontId="14" fillId="0" borderId="0" xfId="0" applyNumberFormat="1" applyFont="1" applyFill="1" applyBorder="1"/>
    <x:xf numFmtId="200" fontId="13" fillId="2" borderId="0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/>
  </x:cellXfs>
  <x:cellStyles count="1">
    <x:cellStyle name="Normal" xfId="0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 patternType="none"/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 patternType="none"/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5b8976b684eb6" /><Relationship Type="http://schemas.openxmlformats.org/officeDocument/2006/relationships/theme" Target="/xl/theme/theme1.xml" Id="R929a9e87d0d0483d" /><Relationship Type="http://schemas.openxmlformats.org/officeDocument/2006/relationships/sharedStrings" Target="/xl/sharedStrings.xml" Id="Re91535e4ac8645da" /><Relationship Type="http://schemas.openxmlformats.org/officeDocument/2006/relationships/worksheet" Target="/xl/worksheets/sheet1.xml" Id="Ra722de96f3424219" /><Relationship Type="http://schemas.openxmlformats.org/officeDocument/2006/relationships/worksheet" Target="/xl/worksheets/sheet2.xml" Id="Rab5b75cca4504530" /><Relationship Type="http://schemas.openxmlformats.org/officeDocument/2006/relationships/worksheet" Target="/xl/worksheets/sheet3.xml" Id="R550827ab74d745e7" /><Relationship Type="http://schemas.openxmlformats.org/officeDocument/2006/relationships/worksheet" Target="/xl/worksheets/sheet4.xml" Id="Ra974a28af69240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deffc337a1148e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3793c27e962b4293" /><Relationship Type="http://schemas.openxmlformats.org/officeDocument/2006/relationships/chart" Target="/xl/drawings/charts/chart1.xml" Id="R26bd3b0846974746" /><Relationship Type="http://schemas.openxmlformats.org/officeDocument/2006/relationships/chart" Target="/xl/drawings/charts/chart2.xml" Id="R8f6bfa66ba9548d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.jpg" Id="R3d12d6bb6e564d9a" /><Relationship Type="http://schemas.openxmlformats.org/officeDocument/2006/relationships/chart" Target="/xl/drawings/charts/chart3.xml" Id="R9be5c8b6c2db48d9" /><Relationship Type="http://schemas.openxmlformats.org/officeDocument/2006/relationships/chart" Target="/xl/drawings/charts/chart4.xml" Id="R0868caafd9ca4ab8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Open Sans"/>
                <a:ea typeface="Open Sans"/>
                <a:cs typeface="Open Sans"/>
              </a:rPr>
              <a:t>Earnings (2012 - 2016)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Open Sans"/>
              <a:ea typeface="Open Sans"/>
              <a:cs typeface="Open Sans"/>
            </a:defRPr>
          </a:pPr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E6E7E8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Model'!$E$121:$I$121</c:f>
              <c:numCache>
                <c:formatCode>_-* #,##0_-;\(#,##0\)_-;_-* "-"_-;_-@</c:formatCode>
                <c:ptCount val="5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1E849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Model'!$E$122:$I$122</c:f>
              <c:numCache>
                <c:formatCode>_-* #,##0_-;\(#,##0\)_-;_-* "-"_-;_-@</c:formatCode>
                <c:ptCount val="5"/>
                <c:pt idx="0">
                  <c:v>62984</c:v>
                </c:pt>
                <c:pt idx="1">
                  <c:v>70082</c:v>
                </c:pt>
                <c:pt idx="2">
                  <c:v>82222</c:v>
                </c:pt>
                <c:pt idx="3">
                  <c:v>89087</c:v>
                </c:pt>
                <c:pt idx="4">
                  <c:v>93462</c:v>
                </c:pt>
              </c:numCache>
            </c:numRef>
          </c:val>
        </c:ser>
        <c:ser>
          <c:idx val="2"/>
          <c:order val="2"/>
          <c:tx>
            <c:v>Earning Before Tax</c:v>
          </c:tx>
          <c:spPr>
            <a:solidFill xmlns:a="http://schemas.openxmlformats.org/drawingml/2006/main">
              <a:srgbClr val="F57A1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Model'!$E$123:$I$123</c:f>
              <c:numCache>
                <c:formatCode>_-* #,##0_-;\(#,##0\)_-;_-* "-"_-;_-@</c:formatCode>
                <c:ptCount val="5"/>
                <c:pt idx="0">
                  <c:v>3594</c:v>
                </c:pt>
                <c:pt idx="1">
                  <c:v>16649</c:v>
                </c:pt>
                <c:pt idx="2">
                  <c:v>29558</c:v>
                </c:pt>
                <c:pt idx="3">
                  <c:v>37621.5</c:v>
                </c:pt>
                <c:pt idx="4">
                  <c:v>39824.55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Open Sans"/>
              <a:ea typeface="Open Sans"/>
              <a:cs typeface="Open Sans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Open Sans"/>
                <a:ea typeface="Open Sans"/>
                <a:cs typeface="Open Sans"/>
              </a:rPr>
              <a:t>Cash Flows (2012 - 2016)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Open Sans"/>
              <a:ea typeface="Open Sans"/>
              <a:cs typeface="Open Sans"/>
            </a:defRPr>
          </a:pPr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Operating</c:v>
          </c:tx>
          <c:spPr>
            <a:solidFill xmlns:a="http://schemas.openxmlformats.org/drawingml/2006/main">
              <a:srgbClr val="F57A1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Model'!$E$125:$I$125</c:f>
              <c:numCache>
                <c:formatCode>_-* #,##0_-;\(#,##0\)_-;_-* "-"_-;_-@</c:formatCode>
                <c:ptCount val="5"/>
                <c:pt idx="0">
                  <c:v>12971.179199999999</c:v>
                </c:pt>
                <c:pt idx="1">
                  <c:v>28238.73349787797</c:v>
                </c:pt>
                <c:pt idx="2">
                  <c:v>37505.343885131326</c:v>
                </c:pt>
                <c:pt idx="3">
                  <c:v>42354.07902359531</c:v>
                </c:pt>
                <c:pt idx="4">
                  <c:v>43480.18475858029</c:v>
                </c:pt>
              </c:numCache>
            </c:numRef>
          </c:val>
        </c:ser>
        <c:ser>
          <c:idx val="1"/>
          <c:order val="1"/>
          <c:tx>
            <c:v>Investing</c:v>
          </c:tx>
          <c:spPr>
            <a:solidFill xmlns:a="http://schemas.openxmlformats.org/drawingml/2006/main">
              <a:srgbClr val="1E849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Model'!$E$126:$I$126</c:f>
              <c:numCache>
                <c:formatCode>_-* #,##0_-;\(#,##0\)_-;_-* "-"_-;_-@</c:formatCode>
                <c:ptCount val="5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</c:numCache>
            </c:numRef>
          </c:val>
        </c:ser>
        <c:ser>
          <c:idx val="2"/>
          <c:order val="2"/>
          <c:tx>
            <c:v>FInancing</c:v>
          </c:tx>
          <c:spPr>
            <a:solidFill xmlns:a="http://schemas.openxmlformats.org/drawingml/2006/main">
              <a:srgbClr val="E6E7E8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'3 Statement Model'!$E$2:$I$2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'3 Statement Model'!$E$127:$I$127</c:f>
              <c:numCache>
                <c:formatCode>_-* #,##0_-;\(#,##0\)_-;_-* "-"_-;_-@</c:formatCode>
                <c:ptCount val="5"/>
                <c:pt idx="0">
                  <c:v>170000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Open Sans"/>
              <a:ea typeface="Open Sans"/>
              <a:cs typeface="Open Sans"/>
            </a:defRPr>
          </a:pPr>
        </a:p>
      </c:txPr>
    </c:legend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Open Sans"/>
                <a:ea typeface="Open Sans"/>
                <a:cs typeface="Open Sans"/>
              </a:rPr>
              <a:t>Earnings (2012 - 2016)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Open Sans"/>
              <a:ea typeface="Open Sans"/>
              <a:cs typeface="Open Sans"/>
            </a:defRPr>
          </a:pPr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E6E7E8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Flow_Balance'!$E$121:$I$121</c:f>
              <c:numCache>
                <c:formatCode>_-* #,##0_-;\(#,##0\)_-;_-* "-"_-;_-@</c:formatCode>
                <c:ptCount val="5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1E849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Flow_Balance'!$E$122:$I$122</c:f>
              <c:numCache>
                <c:formatCode>_-* #,##0_-;\(#,##0\)_-;_-* "-"_-;_-@</c:formatCode>
                <c:ptCount val="5"/>
                <c:pt idx="0">
                  <c:v>62984</c:v>
                </c:pt>
                <c:pt idx="1">
                  <c:v>70082</c:v>
                </c:pt>
                <c:pt idx="2">
                  <c:v>82222</c:v>
                </c:pt>
                <c:pt idx="3">
                  <c:v>89087</c:v>
                </c:pt>
                <c:pt idx="4">
                  <c:v>93462</c:v>
                </c:pt>
              </c:numCache>
            </c:numRef>
          </c:val>
        </c:ser>
        <c:ser>
          <c:idx val="2"/>
          <c:order val="2"/>
          <c:tx>
            <c:v>Earning Before Tax</c:v>
          </c:tx>
          <c:spPr>
            <a:solidFill xmlns:a="http://schemas.openxmlformats.org/drawingml/2006/main">
              <a:srgbClr val="F57A1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Flow_Balance'!$E$123:$I$123</c:f>
              <c:numCache>
                <c:formatCode>_-* #,##0_-;\(#,##0\)_-;_-* "-"_-;_-@</c:formatCode>
                <c:ptCount val="5"/>
                <c:pt idx="0">
                  <c:v>3594</c:v>
                </c:pt>
                <c:pt idx="1">
                  <c:v>16649</c:v>
                </c:pt>
                <c:pt idx="2">
                  <c:v>29558</c:v>
                </c:pt>
                <c:pt idx="3">
                  <c:v>37621.5</c:v>
                </c:pt>
                <c:pt idx="4">
                  <c:v>39824.55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Open Sans"/>
              <a:ea typeface="Open Sans"/>
              <a:cs typeface="Open Sans"/>
            </a:defRPr>
          </a:pPr>
        </a:p>
      </c:txPr>
    </c:legend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Open Sans"/>
                <a:ea typeface="Open Sans"/>
                <a:cs typeface="Open Sans"/>
              </a:rPr>
              <a:t>Cash Flows (2012 - 2016)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Open Sans"/>
              <a:ea typeface="Open Sans"/>
              <a:cs typeface="Open Sans"/>
            </a:defRPr>
          </a:pPr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Operating</c:v>
          </c:tx>
          <c:spPr>
            <a:solidFill xmlns:a="http://schemas.openxmlformats.org/drawingml/2006/main">
              <a:srgbClr val="F57A1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Flow_Balance'!$E$125:$I$125</c:f>
              <c:numCache>
                <c:formatCode>_-* #,##0_-;\(#,##0\)_-;_-* "-"_-;_-@</c:formatCode>
                <c:ptCount val="5"/>
                <c:pt idx="0">
                  <c:v>12971.179199999999</c:v>
                </c:pt>
                <c:pt idx="1">
                  <c:v>28238.73349787797</c:v>
                </c:pt>
                <c:pt idx="2">
                  <c:v>37505.343885131326</c:v>
                </c:pt>
                <c:pt idx="3">
                  <c:v>42354.07902359531</c:v>
                </c:pt>
                <c:pt idx="4">
                  <c:v>43480.18475858029</c:v>
                </c:pt>
              </c:numCache>
            </c:numRef>
          </c:val>
        </c:ser>
        <c:ser>
          <c:idx val="1"/>
          <c:order val="1"/>
          <c:tx>
            <c:v>Investing</c:v>
          </c:tx>
          <c:spPr>
            <a:solidFill xmlns:a="http://schemas.openxmlformats.org/drawingml/2006/main">
              <a:srgbClr val="1E8496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Flow_Balance'!$E$126:$I$126</c:f>
              <c:numCache>
                <c:formatCode>_-* #,##0_-;\(#,##0\)_-;_-* "-"_-;_-@</c:formatCode>
                <c:ptCount val="5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</c:numCache>
            </c:numRef>
          </c:val>
        </c:ser>
        <c:ser>
          <c:idx val="2"/>
          <c:order val="2"/>
          <c:tx>
            <c:v>FInancing</c:v>
          </c:tx>
          <c:spPr>
            <a:solidFill xmlns:a="http://schemas.openxmlformats.org/drawingml/2006/main">
              <a:srgbClr val="E6E7E8"/>
            </a:solidFill>
            <a:ln xmlns:a="http://schemas.openxmlformats.org/drawingml/2006/main">
              <a:solidFill>
                <a:srgbClr val="000000"/>
              </a:solidFill>
            </a:ln>
          </c:spPr>
          <c:cat>
            <c:numRef>
              <c:f>'Practice Cash Flow_Balance'!$E$2:$I$2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'Practice Cash Flow_Balance'!$E$127:$I$127</c:f>
              <c:numCache>
                <c:formatCode>_-* #,##0_-;\(#,##0\)_-;_-* "-"_-;_-@</c:formatCode>
                <c:ptCount val="5"/>
                <c:pt idx="0">
                  <c:v>170000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Open Sans"/>
              <a:ea typeface="Open Sans"/>
              <a:cs typeface="Open Sans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704850</xdr:colOff>
      <xdr:row>3</xdr:row>
      <xdr:rowOff>19050</xdr:rowOff>
    </xdr:from>
    <xdr:ext cx="3362325" cy="15811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ffc337a1148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561975</xdr:colOff>
      <xdr:row>105</xdr:row>
      <xdr:rowOff>9525</xdr:rowOff>
    </xdr:from>
    <xdr:ext cx="4572000" cy="27432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bd3b0846974746"/>
        </a:graphicData>
      </a:graphic>
    </xdr:graphicFrame>
    <xdr:clientData/>
  </xdr:oneCellAnchor>
  <xdr:oneCellAnchor>
    <xdr:from>
      <xdr:col>7</xdr:col>
      <xdr:colOff>38100</xdr:colOff>
      <xdr:row>105</xdr:row>
      <xdr:rowOff>9525</xdr:rowOff>
    </xdr:from>
    <xdr:ext cx="4429125" cy="27432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bfa66ba9548d3"/>
        </a:graphicData>
      </a:graphic>
    </xdr:graphicFrame>
    <xdr:clientData/>
  </xdr:oneCellAnchor>
  <xdr:oneCellAnchor>
    <xdr:from>
      <xdr:col>1</xdr:col>
      <xdr:colOff>38100</xdr:colOff>
      <xdr:row>131</xdr:row>
      <xdr:rowOff>123825</xdr:rowOff>
    </xdr:from>
    <xdr:ext cx="742950" cy="809625"/>
    <xdr:pic>
      <xdr:nvPicPr>
        <xdr:cNvPr id="3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3c27e962b42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561975</xdr:colOff>
      <xdr:row>105</xdr:row>
      <xdr:rowOff>9525</xdr:rowOff>
    </xdr:from>
    <xdr:ext cx="4572000" cy="27432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e5c8b6c2db48d9"/>
        </a:graphicData>
      </a:graphic>
    </xdr:graphicFrame>
    <xdr:clientData/>
  </xdr:oneCellAnchor>
  <xdr:oneCellAnchor>
    <xdr:from>
      <xdr:col>7</xdr:col>
      <xdr:colOff>38100</xdr:colOff>
      <xdr:row>105</xdr:row>
      <xdr:rowOff>9525</xdr:rowOff>
    </xdr:from>
    <xdr:ext cx="4429125" cy="27432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68caafd9ca4ab8"/>
        </a:graphicData>
      </a:graphic>
    </xdr:graphicFrame>
    <xdr:clientData/>
  </xdr:oneCellAnchor>
  <xdr:oneCellAnchor>
    <xdr:from>
      <xdr:col>1</xdr:col>
      <xdr:colOff>38100</xdr:colOff>
      <xdr:row>131</xdr:row>
      <xdr:rowOff>123825</xdr:rowOff>
    </xdr:from>
    <xdr:ext cx="742950" cy="809625"/>
    <xdr:pic>
      <xdr:nvPicPr>
        <xdr:cNvPr id="3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2d6bb6e564d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b192b641394c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803d894210047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da07846400e40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53125" defaultRowHeight="15"/>
  <x:cols>
    <x:col min="1" max="2" width="11" customWidth="1"/>
    <x:col min="3" max="3" width="29.08984375" customWidth="1"/>
    <x:col min="4" max="15" width="11" customWidth="1"/>
    <x:col min="16" max="26" width="9.08984375" customWidth="1"/>
  </x:cols>
  <x:sheetData>
    <x:row r="1" ht="19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19.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19.5" customHeight="1">
      <x:c r="A3" s="1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1"/>
      <x:c r="Q3" s="1"/>
      <x:c r="R3" s="1"/>
      <x:c r="S3" s="1"/>
      <x:c r="T3" s="1"/>
      <x:c r="U3" s="1"/>
    </x:row>
    <x:row r="4" ht="19.5" customHeight="1">
      <x:c r="A4" s="1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1"/>
      <x:c r="Q4" s="1"/>
      <x:c r="R4" s="1"/>
      <x:c r="S4" s="1"/>
      <x:c r="T4" s="1"/>
      <x:c r="U4" s="1"/>
    </x:row>
    <x:row r="5" ht="19.5" customHeight="1">
      <x:c r="A5" s="1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1"/>
      <x:c r="Q5" s="1"/>
      <x:c r="R5" s="1"/>
      <x:c r="S5" s="1"/>
      <x:c r="T5" s="1"/>
      <x:c r="U5" s="1"/>
    </x:row>
    <x:row r="6" ht="19.5" customHeight="1">
      <x:c r="A6" s="1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1"/>
      <x:c r="Q6" s="1"/>
      <x:c r="R6" s="1"/>
      <x:c r="S6" s="1"/>
      <x:c r="T6" s="1"/>
      <x:c r="U6" s="1"/>
    </x:row>
    <x:row r="7" ht="19.5" customHeight="1">
      <x:c r="A7" s="1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1"/>
      <x:c r="Q7" s="1"/>
      <x:c r="R7" s="1"/>
      <x:c r="S7" s="1"/>
      <x:c r="T7" s="1"/>
      <x:c r="U7" s="1"/>
    </x:row>
    <x:row r="8" ht="19.5" customHeight="1">
      <x:c r="A8" s="1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1"/>
      <x:c r="Q8" s="1"/>
      <x:c r="R8" s="1"/>
      <x:c r="S8" s="1"/>
      <x:c r="T8" s="1"/>
      <x:c r="U8" s="1"/>
    </x:row>
    <x:row r="9" ht="19.5" customHeight="1">
      <x:c r="A9" s="1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1"/>
      <x:c r="Q9" s="1"/>
      <x:c r="R9" s="1"/>
      <x:c r="S9" s="1"/>
      <x:c r="T9" s="1"/>
      <x:c r="U9" s="1"/>
    </x:row>
    <x:row r="10" ht="19.5" customHeight="1">
      <x:c r="A10" s="1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1"/>
      <x:c r="Q10" s="1"/>
      <x:c r="R10" s="1"/>
      <x:c r="S10" s="1"/>
      <x:c r="T10" s="1"/>
      <x:c r="U10" s="1"/>
    </x:row>
    <x:row r="11" ht="19.5" customHeight="1">
      <x:c r="A11" s="1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customHeight="1">
      <x:c r="A12" s="1"/>
      <x:c r="B12" s="2"/>
      <x:c r="C12" s="3" t="s">
        <x:v>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4" t="s">
        <x:v>1</x:v>
      </x:c>
      <x:c r="O12" s="2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9.5" customHeight="1">
      <x:c r="A13" s="1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9.5" customHeight="1">
      <x:c r="A14" s="1"/>
      <x:c r="B14" s="2"/>
      <x:c r="C14" s="5" t="s">
        <x:v>2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9.5" customHeight="1">
      <x:c r="A15" s="1"/>
      <x:c r="B15" s="2"/>
      <x:c r="C15" s="6" t="s">
        <x:v>0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9.5" customHeight="1">
      <x:c r="A16" s="1"/>
      <x:c r="B16" s="2"/>
      <x:c r="C16" s="7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9.5" customHeight="1">
      <x:c r="A17" s="1"/>
      <x:c r="B17" s="2"/>
      <x:c r="C17" s="7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9.5" customHeight="1">
      <x:c r="A18" s="1"/>
      <x:c r="B18" s="2"/>
      <x:c r="C18" s="7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9.5" customHeight="1">
      <x:c r="A19" s="1"/>
      <x:c r="B19" s="2"/>
      <x:c r="C19" s="2" t="s">
        <x:v>3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9.5" customHeight="1">
      <x:c r="A20" s="1"/>
      <x:c r="B20" s="2"/>
      <x:c r="C20" s="8" t="s">
        <x:v>4</x:v>
      </x:c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2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9.5" customHeight="1">
      <x:c r="A21" s="1"/>
      <x:c r="B21" s="2"/>
      <x:c r="C21" s="2" t="s">
        <x:v>5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9.5" customHeight="1">
      <x:c r="A22" s="1"/>
      <x:c r="B22" s="2"/>
      <x:c r="C22" s="9" t="s">
        <x:v>6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9.5" customHeight="1">
      <x:c r="A23" s="1"/>
      <x:c r="B23" s="2"/>
      <x:c r="C23" s="9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9.5" customHeight="1">
      <x:c r="A24" s="1"/>
      <x:c r="B24" s="2"/>
      <x:c r="C24" s="10" t="s">
        <x:v>7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2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9.5" customHeight="1">
      <x:c r="A25" s="1"/>
      <x:c r="B25" s="12"/>
      <x:c r="C25" s="10" t="s">
        <x:v>8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2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9.5" customHeight="1">
      <x:c r="A26" s="1"/>
      <x:c r="B26" s="12"/>
      <x:c r="C26" s="10" t="s">
        <x:v>9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2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9.5" customHeight="1">
      <x:c r="A27" s="1"/>
      <x:c r="B27" s="12"/>
      <x:c r="C27" s="10" t="s">
        <x:v>10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2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9.5" customHeight="1">
      <x:c r="A28" s="1"/>
      <x:c r="B28" s="12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2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9.5" customHeight="1">
      <x:c r="A29" s="1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9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9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9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9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9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9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9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9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9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9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9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9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9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9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9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9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9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6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6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6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6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6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6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6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6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6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6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6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6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6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6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6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6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6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6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6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6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drawing xmlns:r="http://schemas.openxmlformats.org/officeDocument/2006/relationships" r:id="R47b192b641394cd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53125" defaultRowHeight="15"/>
  <x:cols>
    <x:col min="1" max="1" width="1.81640625" customWidth="1"/>
    <x:col min="2" max="4" width="15.54296875" customWidth="1"/>
    <x:col min="5" max="9" width="11.54296875" customWidth="1"/>
    <x:col min="10" max="14" width="12.54296875" customWidth="1"/>
    <x:col min="15" max="26" width="9.08984375" customWidth="1"/>
  </x:cols>
  <x:sheetData>
    <x:row r="1" ht="15.75" customHeight="1">
      <x:c r="A1" s="13"/>
      <x:c r="B1" s="14" t="s">
        <x:v>11</x:v>
      </x:c>
      <x:c r="C1" s="13"/>
      <x:c r="D1" s="15"/>
      <x:c r="E1" s="55" t="s">
        <x:v>12</x:v>
      </x:c>
      <x:c r="F1" s="56"/>
      <x:c r="G1" s="56"/>
      <x:c r="H1" s="56"/>
      <x:c r="I1" s="57"/>
      <x:c r="J1" s="58" t="s">
        <x:v>13</x:v>
      </x:c>
      <x:c r="K1" s="56"/>
      <x:c r="L1" s="56"/>
      <x:c r="M1" s="56"/>
      <x:c r="N1" s="57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1" customHeight="1">
      <x:c r="A2" s="13"/>
      <x:c r="B2" s="17" t="s">
        <x:v>14</x:v>
      </x:c>
      <x:c r="C2" s="18"/>
      <x:c r="D2" s="19"/>
      <x:c r="E2" s="20">
        <x:v>2012</x:v>
      </x:c>
      <x:c r="F2" s="20" t="n">
        <x:f t="shared" ref="F2:N2" si="0">+E2+1</x:f>
        <x:v>2013</x:v>
      </x:c>
      <x:c r="G2" s="20">
        <x:f t="shared" si="0"/>
        <x:v>2014</x:v>
      </x:c>
      <x:c r="H2" s="20">
        <x:f t="shared" si="0"/>
        <x:v>2015</x:v>
      </x:c>
      <x:c r="I2" s="20">
        <x:f t="shared" si="0"/>
        <x:v>2016</x:v>
      </x:c>
      <x:c r="J2" s="21">
        <x:f t="shared" si="0"/>
        <x:v>2017</x:v>
      </x:c>
      <x:c r="K2" s="21">
        <x:f t="shared" si="0"/>
        <x:v>2018</x:v>
      </x:c>
      <x:c r="L2" s="21">
        <x:f t="shared" si="0"/>
        <x:v>2019</x:v>
      </x:c>
      <x:c r="M2" s="21">
        <x:f t="shared" si="0"/>
        <x:v>2020</x:v>
      </x:c>
      <x:c r="N2" s="21">
        <x:f t="shared" si="0"/>
        <x:v>2021</x:v>
      </x:c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 ht="15.75" customHeight="1">
      <x:c r="A3" s="16"/>
      <x:c r="B3" s="16" t="s">
        <x:v>15</x:v>
      </x:c>
      <x:c r="C3" s="16"/>
      <x:c r="D3" s="22"/>
      <x:c r="E3" s="23" t="str">
        <x:f t="shared" ref="E3:N3" si="1">IFERROR(IF(ABS(E57)&gt;1,"ERROR","OK"),"OK")</x:f>
        <x:v>OK</x:v>
      </x:c>
      <x:c r="F3" s="23" t="str">
        <x:f t="shared" si="1"/>
        <x:v>OK</x:v>
      </x:c>
      <x:c r="G3" s="23" t="str">
        <x:f t="shared" si="1"/>
        <x:v>OK</x:v>
      </x:c>
      <x:c r="H3" s="23" t="str">
        <x:f t="shared" si="1"/>
        <x:v>OK</x:v>
      </x:c>
      <x:c r="I3" s="23" t="str">
        <x:f t="shared" si="1"/>
        <x:v>OK</x:v>
      </x:c>
      <x:c r="J3" s="23" t="str">
        <x:f t="shared" si="1"/>
        <x:v>OK</x:v>
      </x:c>
      <x:c r="K3" s="23" t="str">
        <x:f t="shared" si="1"/>
        <x:v>OK</x:v>
      </x:c>
      <x:c r="L3" s="23" t="str">
        <x:f t="shared" si="1"/>
        <x:v>OK</x:v>
      </x:c>
      <x:c r="M3" s="23" t="str">
        <x:f t="shared" si="1"/>
        <x:v>OK</x:v>
      </x:c>
      <x:c r="N3" s="23" t="str">
        <x:f t="shared" si="1"/>
        <x:v>OK</x:v>
      </x:c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 ht="15.75" customHeight="1">
      <x:c r="A4" s="16"/>
      <x:c r="B4" s="16"/>
      <x:c r="C4" s="16"/>
      <x:c r="D4" s="22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V4" s="16"/>
      <x:c r="W4" s="16"/>
      <x:c r="X4" s="16"/>
      <x:c r="Y4" s="16"/>
      <x:c r="Z4" s="16"/>
    </x:row>
    <x:row r="5" ht="15.75" customHeight="1">
      <x:c r="A5" s="16"/>
      <x:c r="B5" s="24" t="s">
        <x:v>16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V5" s="16"/>
      <x:c r="W5" s="16"/>
      <x:c r="X5" s="16"/>
      <x:c r="Y5" s="16"/>
      <x:c r="Z5" s="16"/>
    </x:row>
    <x:row r="6" ht="15.75" customHeight="1">
      <x:c r="A6" s="16"/>
      <x:c r="B6" s="25" t="s">
        <x:v>17</x:v>
      </x:c>
      <x:c r="C6" s="16"/>
      <x:c r="D6" s="22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V6" s="16"/>
      <x:c r="W6" s="16"/>
      <x:c r="X6" s="16"/>
      <x:c r="Y6" s="16"/>
      <x:c r="Z6" s="16"/>
    </x:row>
    <x:row r="7" ht="15.75" customHeight="1">
      <x:c r="A7" s="16"/>
      <x:c r="B7" s="16" t="s">
        <x:v>18</x:v>
      </x:c>
      <x:c r="C7" s="25"/>
      <x:c r="D7" s="26"/>
      <x:c r="E7" s="25"/>
      <x:c r="F7" s="27" t="n">
        <x:f t="shared" ref="F7:I7" si="2">F24/E24-1</x:f>
        <x:v>0.15762643740135474</x:v>
      </x:c>
      <x:c r="G7" s="27">
        <x:f t="shared" si="2"/>
        <x:v>0.1122825737174602</x:v>
      </x:c>
      <x:c r="H7" s="27">
        <x:f t="shared" si="2"/>
        <x:v>8.3718451406600947E-2</x:v>
      </x:c>
      <x:c r="I7" s="27">
        <x:f t="shared" si="2"/>
        <x:v>5.9231001608812672E-2</x:v>
      </x:c>
      <x:c r="J7" s="28">
        <x:v>0.05</x:v>
      </x:c>
      <x:c r="K7" s="28">
        <x:v>4.4999999999999998E-2</x:v>
      </x:c>
      <x:c r="L7" s="28">
        <x:v>0.04</x:v>
      </x:c>
      <x:c r="M7" s="28">
        <x:v>3.5000000000000003E-2</x:v>
      </x:c>
      <x:c r="N7" s="28">
        <x:v>0.03</x:v>
      </x:c>
      <x:c r="V7" s="16"/>
      <x:c r="W7" s="16"/>
      <x:c r="X7" s="16"/>
      <x:c r="Y7" s="16"/>
      <x:c r="Z7" s="16"/>
    </x:row>
    <x:row r="8" ht="15.75" customHeight="1">
      <x:c r="A8" s="16"/>
      <x:c r="B8" s="16" t="s">
        <x:v>19</x:v>
      </x:c>
      <x:c r="C8" s="16"/>
      <x:c r="D8" s="22"/>
      <x:c r="E8" s="27" t="n">
        <x:f t="shared" ref="E8:I8" si="3">E25/E24</x:f>
        <x:v>0.3825521777917202</x:v>
      </x:c>
      <x:c r="F8" s="27">
        <x:f t="shared" si="3"/>
        <x:v>0.40651728401334619</x:v>
      </x:c>
      <x:c r="G8" s="27">
        <x:f t="shared" si="3"/>
        <x:v>0.37399977159389397</x:v>
      </x:c>
      <x:c r="H8" s="27">
        <x:f t="shared" si="3"/>
        <x:v>0.37412973071708078</x:v>
      </x:c>
      <x:c r="I8" s="27">
        <x:f t="shared" si="3"/>
        <x:v>0.38011036531982062</x:v>
      </x:c>
      <x:c r="J8" s="28">
        <x:v>0.37</x:v>
      </x:c>
      <x:c r="K8" s="28">
        <x:v>0.37</x:v>
      </x:c>
      <x:c r="L8" s="28">
        <x:v>0.36</x:v>
      </x:c>
      <x:c r="M8" s="28">
        <x:v>0.36</x:v>
      </x:c>
      <x:c r="N8" s="28">
        <x:v>0.35</x:v>
      </x:c>
      <x:c r="V8" s="16"/>
      <x:c r="W8" s="16"/>
      <x:c r="X8" s="16"/>
      <x:c r="Y8" s="16"/>
      <x:c r="Z8" s="16"/>
    </x:row>
    <x:row r="9" ht="15.75" customHeight="1">
      <x:c r="A9" s="16"/>
      <x:c r="B9" s="16" t="s">
        <x:v>20</x:v>
      </x:c>
      <x:c r="C9" s="16"/>
      <x:c r="D9" s="22"/>
      <x:c r="E9" s="16" t="n">
        <x:f t="shared" ref="E9:I9" si="4">E28</x:f>
        <x:v>26427</x:v>
      </x:c>
      <x:c r="F9" s="16">
        <x:f t="shared" si="4"/>
        <x:v>22658</x:v>
      </x:c>
      <x:c r="G9" s="16">
        <x:f t="shared" si="4"/>
        <x:v>23872</x:v>
      </x:c>
      <x:c r="H9" s="16">
        <x:f t="shared" si="4"/>
        <x:v>23002</x:v>
      </x:c>
      <x:c r="I9" s="16">
        <x:f t="shared" si="4"/>
        <x:v>25245</x:v>
      </x:c>
      <x:c r="J9" s="29">
        <x:v>25000</x:v>
      </x:c>
      <x:c r="K9" s="29">
        <x:v>25000</x:v>
      </x:c>
      <x:c r="L9" s="29">
        <x:v>25000</x:v>
      </x:c>
      <x:c r="M9" s="29">
        <x:v>25000</x:v>
      </x:c>
      <x:c r="N9" s="29">
        <x:v>25000</x:v>
      </x:c>
      <x:c r="V9" s="16"/>
      <x:c r="W9" s="16"/>
      <x:c r="X9" s="16"/>
      <x:c r="Y9" s="16"/>
      <x:c r="Z9" s="16"/>
    </x:row>
    <x:row r="10" ht="15.75" customHeight="1">
      <x:c r="A10" s="16"/>
      <x:c r="B10" s="16" t="s">
        <x:v>21</x:v>
      </x:c>
      <x:c r="C10" s="16"/>
      <x:c r="D10" s="22"/>
      <x:c r="E10" s="16" t="n">
        <x:f t="shared" ref="E10:I10" si="5">E29</x:f>
        <x:v>10963</x:v>
      </x:c>
      <x:c r="F10" s="16">
        <x:f t="shared" si="5"/>
        <x:v>10125</x:v>
      </x:c>
      <x:c r="G10" s="16">
        <x:f t="shared" si="5"/>
        <x:v>10087</x:v>
      </x:c>
      <x:c r="H10" s="16">
        <x:f t="shared" si="5"/>
        <x:v>11020</x:v>
      </x:c>
      <x:c r="I10" s="16">
        <x:f t="shared" si="5"/>
        <x:v>11412</x:v>
      </x:c>
      <x:c r="J10" s="29">
        <x:v>10000</x:v>
      </x:c>
      <x:c r="K10" s="29">
        <x:v>10000</x:v>
      </x:c>
      <x:c r="L10" s="29">
        <x:v>10000</x:v>
      </x:c>
      <x:c r="M10" s="29">
        <x:v>10000</x:v>
      </x:c>
      <x:c r="N10" s="29">
        <x:v>10000</x:v>
      </x:c>
      <x:c r="V10" s="16"/>
      <x:c r="W10" s="16"/>
      <x:c r="X10" s="16"/>
      <x:c r="Y10" s="16"/>
      <x:c r="Z10" s="16"/>
    </x:row>
    <x:row r="11" ht="15.75" customHeight="1">
      <x:c r="A11" s="16"/>
      <x:c r="B11" s="16" t="s">
        <x:v>22</x:v>
      </x:c>
      <x:c r="C11" s="16"/>
      <x:c r="D11" s="22"/>
      <x:c r="E11" s="27" t="n">
        <x:f t="shared" ref="E11:I11" si="6">E30/E92</x:f>
        <x:v>0.39</x:v>
      </x:c>
      <x:c r="F11" s="27">
        <x:f t="shared" si="6"/>
        <x:v>0.39890109890109893</x:v>
      </x:c>
      <x:c r="G11" s="27">
        <x:f t="shared" si="6"/>
        <x:v>0.4062573789846517</x:v>
      </x:c>
      <x:c r="H11" s="27">
        <x:f t="shared" si="6"/>
        <x:v>0.41209366048075724</x:v>
      </x:c>
      <x:c r="I11" s="27">
        <x:f t="shared" si="6"/>
        <x:v>0.41657578073390927</x:v>
      </x:c>
      <x:c r="J11" s="28">
        <x:v>0.4</x:v>
      </x:c>
      <x:c r="K11" s="28">
        <x:v>0.4</x:v>
      </x:c>
      <x:c r="L11" s="28">
        <x:v>0.4</x:v>
      </x:c>
      <x:c r="M11" s="28">
        <x:v>0.4</x:v>
      </x:c>
      <x:c r="N11" s="28">
        <x:v>0.4</x:v>
      </x:c>
      <x:c r="V11" s="16"/>
      <x:c r="W11" s="16"/>
      <x:c r="X11" s="16"/>
      <x:c r="Y11" s="16"/>
      <x:c r="Z11" s="16"/>
    </x:row>
    <x:row r="12" ht="15.75" customHeight="1">
      <x:c r="A12" s="16"/>
      <x:c r="B12" s="16" t="s">
        <x:v>23</x:v>
      </x:c>
      <x:c r="C12" s="16"/>
      <x:c r="D12" s="22"/>
      <x:c r="E12" s="27" t="n">
        <x:f t="shared" ref="E12:I12" si="7">E101/E98</x:f>
        <x:v>0.05</x:v>
      </x:c>
      <x:c r="F12" s="27">
        <x:f t="shared" si="7"/>
        <x:v>0.05</x:v>
      </x:c>
      <x:c r="G12" s="27">
        <x:f t="shared" si="7"/>
        <x:v>0.03</x:v>
      </x:c>
      <x:c r="H12" s="27">
        <x:f t="shared" si="7"/>
        <x:v>0.03</x:v>
      </x:c>
      <x:c r="I12" s="27">
        <x:f t="shared" si="7"/>
        <x:v>0.03</x:v>
      </x:c>
      <x:c r="J12" s="28">
        <x:v>0.03</x:v>
      </x:c>
      <x:c r="K12" s="28">
        <x:v>0.03</x:v>
      </x:c>
      <x:c r="L12" s="28">
        <x:v>0.03</x:v>
      </x:c>
      <x:c r="M12" s="28">
        <x:v>0.03</x:v>
      </x:c>
      <x:c r="N12" s="28">
        <x:v>0.03</x:v>
      </x:c>
      <x:c r="V12" s="16"/>
      <x:c r="W12" s="16"/>
      <x:c r="X12" s="16"/>
      <x:c r="Y12" s="16"/>
      <x:c r="Z12" s="16"/>
    </x:row>
    <x:row r="13" ht="15.75" customHeight="1">
      <x:c r="A13" s="16"/>
      <x:c r="B13" s="16" t="s">
        <x:v>24</x:v>
      </x:c>
      <x:c r="C13" s="30"/>
      <x:c r="D13" s="31"/>
      <x:c r="E13" s="27" t="n">
        <x:f t="shared" ref="E13:I13" si="8">E35/E33</x:f>
        <x:v>0.31167801892042296</x:v>
      </x:c>
      <x:c r="F13" s="27">
        <x:f t="shared" si="8"/>
        <x:v>0.29180230056592171</x:v>
      </x:c>
      <x:c r="G13" s="27">
        <x:f t="shared" si="8"/>
        <x:v>0.28698850107817436</x:v>
      </x:c>
      <x:c r="H13" s="27">
        <x:f t="shared" si="8"/>
        <x:v>0.2899411500446471</x:v>
      </x:c>
      <x:c r="I13" s="27">
        <x:f t="shared" si="8"/>
        <x:v>0.29121899033183596</x:v>
      </x:c>
      <x:c r="J13" s="28">
        <x:v>0.28000000000000003</x:v>
      </x:c>
      <x:c r="K13" s="28">
        <x:v>0.28000000000000003</x:v>
      </x:c>
      <x:c r="L13" s="28">
        <x:v>0.28000000000000003</x:v>
      </x:c>
      <x:c r="M13" s="28">
        <x:v>0.28000000000000003</x:v>
      </x:c>
      <x:c r="N13" s="28">
        <x:v>0.28000000000000003</x:v>
      </x:c>
      <x:c r="V13" s="16"/>
      <x:c r="W13" s="16"/>
      <x:c r="X13" s="16"/>
      <x:c r="Y13" s="16"/>
      <x:c r="Z13" s="16"/>
    </x:row>
    <x:row r="14" ht="15.75" customHeight="1">
      <x:c r="A14" s="16"/>
      <x:c r="B14" s="25" t="s">
        <x:v>25</x:v>
      </x:c>
      <x:c r="C14" s="16"/>
      <x:c r="D14" s="22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V14" s="16"/>
      <x:c r="W14" s="16"/>
      <x:c r="X14" s="16"/>
      <x:c r="Y14" s="16"/>
      <x:c r="Z14" s="16"/>
    </x:row>
    <x:row r="15" ht="15.75" customHeight="1">
      <x:c r="A15" s="16"/>
      <x:c r="B15" s="16" t="s">
        <x:v>26</x:v>
      </x:c>
      <x:c r="C15" s="16"/>
      <x:c r="D15" s="32"/>
      <x:c r="E15" s="16" t="n">
        <x:f t="shared" ref="E15:I15" si="9">E42/E24*365</x:f>
        <x:v>18.25</x:v>
      </x:c>
      <x:c r="F15" s="16">
        <x:f t="shared" si="9"/>
        <x:v>18.25</x:v>
      </x:c>
      <x:c r="G15" s="16">
        <x:f t="shared" si="9"/>
        <x:v>18.25</x:v>
      </x:c>
      <x:c r="H15" s="16">
        <x:f t="shared" si="9"/>
        <x:v>18.25</x:v>
      </x:c>
      <x:c r="I15" s="16">
        <x:f t="shared" si="9"/>
        <x:v>18.25</x:v>
      </x:c>
      <x:c r="J15" s="29">
        <x:v>18</x:v>
      </x:c>
      <x:c r="K15" s="29">
        <x:v>18</x:v>
      </x:c>
      <x:c r="L15" s="29">
        <x:v>18</x:v>
      </x:c>
      <x:c r="M15" s="29">
        <x:v>18</x:v>
      </x:c>
      <x:c r="N15" s="29">
        <x:v>18</x:v>
      </x:c>
      <x:c r="V15" s="16"/>
      <x:c r="W15" s="16"/>
      <x:c r="X15" s="16"/>
      <x:c r="Y15" s="16"/>
      <x:c r="Z15" s="16"/>
    </x:row>
    <x:row r="16" ht="15.75" customHeight="1">
      <x:c r="A16" s="16"/>
      <x:c r="B16" s="16" t="s">
        <x:v>27</x:v>
      </x:c>
      <x:c r="C16" s="16"/>
      <x:c r="D16" s="32"/>
      <x:c r="E16" s="16" t="n">
        <x:f t="shared" ref="E16:I16" si="10">E43/E25*365</x:f>
        <x:v>73</x:v>
      </x:c>
      <x:c r="F16" s="16">
        <x:f t="shared" si="10"/>
        <x:v>73</x:v>
      </x:c>
      <x:c r="G16" s="16">
        <x:f t="shared" si="10"/>
        <x:v>73</x:v>
      </x:c>
      <x:c r="H16" s="16">
        <x:f t="shared" si="10"/>
        <x:v>72.177526570774049</x:v>
      </x:c>
      <x:c r="I16" s="16">
        <x:f t="shared" si="10"/>
        <x:v>72.235735473739325</x:v>
      </x:c>
      <x:c r="J16" s="29">
        <x:v>73</x:v>
      </x:c>
      <x:c r="K16" s="29">
        <x:v>73</x:v>
      </x:c>
      <x:c r="L16" s="29">
        <x:v>73</x:v>
      </x:c>
      <x:c r="M16" s="29">
        <x:v>73</x:v>
      </x:c>
      <x:c r="N16" s="29">
        <x:v>73</x:v>
      </x:c>
      <x:c r="V16" s="16"/>
      <x:c r="W16" s="16"/>
      <x:c r="X16" s="16"/>
      <x:c r="Y16" s="16"/>
      <x:c r="Z16" s="16"/>
    </x:row>
    <x:row r="17" ht="15.75" customHeight="1">
      <x:c r="A17" s="16"/>
      <x:c r="B17" s="16" t="s">
        <x:v>28</x:v>
      </x:c>
      <x:c r="C17" s="16"/>
      <x:c r="D17" s="32"/>
      <x:c r="E17" s="16" t="n">
        <x:f t="shared" ref="E17:I17" si="11">E48/E25*365</x:f>
        <x:v>36.5</x:v>
      </x:c>
      <x:c r="F17" s="16">
        <x:f t="shared" si="11"/>
        <x:v>36.5</x:v>
      </x:c>
      <x:c r="G17" s="16">
        <x:f t="shared" si="11"/>
        <x:v>36.5</x:v>
      </x:c>
      <x:c r="H17" s="16">
        <x:f t="shared" si="11"/>
        <x:v>36.088763285387024</x:v>
      </x:c>
      <x:c r="I17" s="16">
        <x:f t="shared" si="11"/>
        <x:v>36.117867736869663</x:v>
      </x:c>
      <x:c r="J17" s="29">
        <x:v>37</x:v>
      </x:c>
      <x:c r="K17" s="29">
        <x:v>37</x:v>
      </x:c>
      <x:c r="L17" s="29">
        <x:v>37</x:v>
      </x:c>
      <x:c r="M17" s="29">
        <x:v>37</x:v>
      </x:c>
      <x:c r="N17" s="29">
        <x:v>37</x:v>
      </x:c>
      <x:c r="V17" s="16"/>
      <x:c r="W17" s="16"/>
      <x:c r="X17" s="16"/>
      <x:c r="Y17" s="16"/>
      <x:c r="Z17" s="16"/>
    </x:row>
    <x:row r="18" ht="15.75" customHeight="1">
      <x:c r="A18" s="16"/>
      <x:c r="B18" s="16" t="s">
        <x:v>29</x:v>
      </x:c>
      <x:c r="C18" s="16"/>
      <x:c r="D18" s="22"/>
      <x:c r="E18" s="16" t="n">
        <x:f t="shared" ref="E18:I18" si="12">E68</x:f>
        <x:v>15000</x:v>
      </x:c>
      <x:c r="F18" s="16">
        <x:f t="shared" si="12"/>
        <x:v>15000</x:v>
      </x:c>
      <x:c r="G18" s="16">
        <x:f t="shared" si="12"/>
        <x:v>15000</x:v>
      </x:c>
      <x:c r="H18" s="16">
        <x:f t="shared" si="12"/>
        <x:v>15000</x:v>
      </x:c>
      <x:c r="I18" s="16">
        <x:f t="shared" si="12"/>
        <x:v>15000</x:v>
      </x:c>
      <x:c r="J18" s="29">
        <x:v>15000</x:v>
      </x:c>
      <x:c r="K18" s="29">
        <x:v>10000</x:v>
      </x:c>
      <x:c r="L18" s="29">
        <x:v>25000</x:v>
      </x:c>
      <x:c r="M18" s="29">
        <x:v>10000</x:v>
      </x:c>
      <x:c r="N18" s="29">
        <x:v>15000</x:v>
      </x:c>
      <x:c r="V18" s="16"/>
      <x:c r="W18" s="16"/>
      <x:c r="X18" s="16"/>
      <x:c r="Y18" s="16"/>
      <x:c r="Z18" s="16"/>
    </x:row>
    <x:row r="19" ht="15.75" customHeight="1">
      <x:c r="A19" s="16"/>
      <x:c r="B19" s="16" t="s">
        <x:v>30</x:v>
      </x:c>
      <x:c r="C19" s="16"/>
      <x:c r="D19" s="22"/>
      <x:c r="E19" s="16" t="n">
        <x:f t="shared" ref="E19:I19" si="13">E99</x:f>
        <x:v>0</x:v>
      </x:c>
      <x:c r="F19" s="16">
        <x:f t="shared" si="13"/>
        <x:v>0</x:v>
      </x:c>
      <x:c r="G19" s="16">
        <x:f t="shared" si="13"/>
        <x:v>-20000</x:v>
      </x:c>
      <x:c r="H19" s="16">
        <x:f t="shared" si="13"/>
        <x:v>0</x:v>
      </x:c>
      <x:c r="I19" s="16">
        <x:f t="shared" si="13"/>
        <x:v>0</x:v>
      </x:c>
      <x:c r="J19" s="29">
        <x:v>0</x:v>
      </x:c>
      <x:c r="K19" s="29">
        <x:v>0</x:v>
      </x:c>
      <x:c r="L19" s="29">
        <x:v>-20000</x:v>
      </x:c>
      <x:c r="M19" s="29">
        <x:v>0</x:v>
      </x:c>
      <x:c r="N19" s="29">
        <x:v>0</x:v>
      </x:c>
      <x:c r="V19" s="16"/>
      <x:c r="W19" s="16"/>
      <x:c r="X19" s="16"/>
      <x:c r="Y19" s="16"/>
      <x:c r="Z19" s="16"/>
    </x:row>
    <x:row r="20" ht="15.75" customHeight="1">
      <x:c r="A20" s="16"/>
      <x:c r="B20" s="16" t="s">
        <x:v>31</x:v>
      </x:c>
      <x:c r="C20" s="16"/>
      <x:c r="D20" s="22"/>
      <x:c r="E20" s="16" t="n">
        <x:f t="shared" ref="E20:I20" si="14">E73</x:f>
        <x:v>170000</x:v>
      </x:c>
      <x:c r="F20" s="16">
        <x:f t="shared" si="14"/>
        <x:v>0</x:v>
      </x:c>
      <x:c r="G20" s="16">
        <x:f t="shared" si="14"/>
        <x:v>0</x:v>
      </x:c>
      <x:c r="H20" s="16">
        <x:f t="shared" si="14"/>
        <x:v>0</x:v>
      </x:c>
      <x:c r="I20" s="16">
        <x:f t="shared" si="14"/>
        <x:v>0</x:v>
      </x:c>
      <x:c r="J20" s="29">
        <x:v>0</x:v>
      </x:c>
      <x:c r="K20" s="29">
        <x:v>0</x:v>
      </x:c>
      <x:c r="L20" s="29">
        <x:v>0</x:v>
      </x:c>
      <x:c r="M20" s="29">
        <x:v>-150000</x:v>
      </x:c>
      <x:c r="N20" s="29">
        <x:v>0</x:v>
      </x:c>
      <x:c r="V20" s="16"/>
      <x:c r="W20" s="16"/>
      <x:c r="X20" s="16"/>
      <x:c r="Y20" s="16"/>
      <x:c r="Z20" s="16"/>
    </x:row>
    <x:row r="21" ht="15.75" customHeight="1">
      <x:c r="A21" s="16"/>
      <x:c r="B21" s="16"/>
      <x:c r="C21" s="16"/>
      <x:c r="D21" s="22"/>
      <x:c r="E21" s="16"/>
      <x:c r="F21" s="16"/>
      <x:c r="G21" s="16"/>
      <x:c r="H21" s="16"/>
      <x:c r="I21" s="16"/>
      <x:c r="J21" s="29"/>
      <x:c r="K21" s="29"/>
      <x:c r="L21" s="29"/>
      <x:c r="M21" s="29"/>
      <x:c r="N21" s="29"/>
      <x:c r="V21" s="16"/>
      <x:c r="W21" s="16"/>
      <x:c r="X21" s="16"/>
      <x:c r="Y21" s="16"/>
      <x:c r="Z21" s="16"/>
    </x:row>
    <x:row r="22" ht="15.75" customHeight="1">
      <x:c r="A22" s="16"/>
      <x:c r="B22" s="16"/>
      <x:c r="C22" s="16"/>
      <x:c r="D22" s="22"/>
      <x:c r="E22" s="16"/>
      <x:c r="F22" s="16"/>
      <x:c r="G22" s="16"/>
      <x:c r="H22" s="16"/>
      <x:c r="I22" s="16"/>
      <x:c r="J22" s="29"/>
      <x:c r="K22" s="29"/>
      <x:c r="L22" s="29"/>
      <x:c r="M22" s="29"/>
      <x:c r="N22" s="29"/>
      <x:c r="V22" s="16"/>
      <x:c r="W22" s="16"/>
      <x:c r="X22" s="16"/>
      <x:c r="Y22" s="16"/>
      <x:c r="Z22" s="16"/>
    </x:row>
    <x:row r="23" ht="15.75" customHeight="1">
      <x:c r="A23" s="16"/>
      <x:c r="B23" s="24" t="s">
        <x:v>32</x:v>
      </x:c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V23" s="16"/>
      <x:c r="W23" s="16"/>
      <x:c r="X23" s="16"/>
      <x:c r="Y23" s="16"/>
      <x:c r="Z23" s="16"/>
    </x:row>
    <x:row r="24" ht="15.75" hidden="1" customHeight="1">
      <x:c r="A24" s="16"/>
      <x:c r="B24" s="25" t="s">
        <x:v>33</x:v>
      </x:c>
      <x:c r="C24" s="25"/>
      <x:c r="D24" s="26"/>
      <x:c r="E24" s="33">
        <x:v>102007</x:v>
      </x:c>
      <x:c r="F24" s="33">
        <x:v>118086</x:v>
      </x:c>
      <x:c r="G24" s="33">
        <x:v>131345</x:v>
      </x:c>
      <x:c r="H24" s="33">
        <x:v>142341</x:v>
      </x:c>
      <x:c r="I24" s="33">
        <x:v>150772</x:v>
      </x:c>
      <x:c r="J24" s="25" t="n">
        <x:f t="shared" ref="J24:N24" si="15">I24*(1+J7)</x:f>
        <x:v>158310.6</x:v>
      </x:c>
      <x:c r="K24" s="25">
        <x:f t="shared" si="15"/>
        <x:v>165434.57699999999</x:v>
      </x:c>
      <x:c r="L24" s="25">
        <x:f t="shared" si="15"/>
        <x:v>172051.96007999999</x:v>
      </x:c>
      <x:c r="M24" s="25">
        <x:f t="shared" si="15"/>
        <x:v>178073.77868279998</x:v>
      </x:c>
      <x:c r="N24" s="25">
        <x:f t="shared" si="15"/>
        <x:v>183415.99204328397</x:v>
      </x:c>
      <x:c r="V24" s="16"/>
      <x:c r="W24" s="16"/>
      <x:c r="X24" s="16"/>
      <x:c r="Y24" s="16"/>
      <x:c r="Z24" s="16"/>
    </x:row>
    <x:row r="25" ht="15.75" hidden="1" customHeight="1">
      <x:c r="A25" s="16"/>
      <x:c r="B25" s="16" t="s">
        <x:v>34</x:v>
      </x:c>
      <x:c r="C25" s="16"/>
      <x:c r="D25" s="22"/>
      <x:c r="E25" s="29">
        <x:v>39023</x:v>
      </x:c>
      <x:c r="F25" s="29">
        <x:v>48004</x:v>
      </x:c>
      <x:c r="G25" s="29">
        <x:v>49123</x:v>
      </x:c>
      <x:c r="H25" s="29">
        <x:v>53253.999999999993</x:v>
      </x:c>
      <x:c r="I25" s="29">
        <x:v>57309.999999999993</x:v>
      </x:c>
      <x:c r="J25" s="34" t="n">
        <x:f t="shared" ref="J25:N25" si="16">J24*J8</x:f>
        <x:v>58574.922</x:v>
      </x:c>
      <x:c r="K25" s="34">
        <x:f t="shared" si="16"/>
        <x:v>61210.793489999996</x:v>
      </x:c>
      <x:c r="L25" s="34">
        <x:f t="shared" si="16"/>
        <x:v>61938.705628799995</x:v>
      </x:c>
      <x:c r="M25" s="34">
        <x:f t="shared" si="16"/>
        <x:v>64106.560325807994</x:v>
      </x:c>
      <x:c r="N25" s="34">
        <x:f t="shared" si="16"/>
        <x:v>64195.597215149384</x:v>
      </x:c>
      <x:c r="V25" s="16"/>
      <x:c r="W25" s="16"/>
      <x:c r="X25" s="16"/>
      <x:c r="Y25" s="16"/>
      <x:c r="Z25" s="16"/>
    </x:row>
    <x:row r="26" ht="15.75" hidden="1" customHeight="1">
      <x:c r="A26" s="16"/>
      <x:c r="B26" s="35" t="s">
        <x:v>35</x:v>
      </x:c>
      <x:c r="C26" s="35"/>
      <x:c r="D26" s="36"/>
      <x:c r="E26" s="35" t="n">
        <x:f t="shared" ref="E26:N26" si="17">E24-E25</x:f>
        <x:v>62984</x:v>
      </x:c>
      <x:c r="F26" s="35">
        <x:f t="shared" si="17"/>
        <x:v>70082</x:v>
      </x:c>
      <x:c r="G26" s="35">
        <x:f t="shared" si="17"/>
        <x:v>82222</x:v>
      </x:c>
      <x:c r="H26" s="35">
        <x:f t="shared" si="17"/>
        <x:v>89087</x:v>
      </x:c>
      <x:c r="I26" s="35">
        <x:f t="shared" si="17"/>
        <x:v>93462</x:v>
      </x:c>
      <x:c r="J26" s="35">
        <x:f t="shared" si="17"/>
        <x:v>99735.678000000014</x:v>
      </x:c>
      <x:c r="K26" s="35">
        <x:f t="shared" si="17"/>
        <x:v>104223.78350999999</x:v>
      </x:c>
      <x:c r="L26" s="35">
        <x:f t="shared" si="17"/>
        <x:v>110113.25445119999</x:v>
      </x:c>
      <x:c r="M26" s="35">
        <x:f t="shared" si="17"/>
        <x:v>113967.21835699199</x:v>
      </x:c>
      <x:c r="N26" s="35">
        <x:f t="shared" si="17"/>
        <x:v>119220.39482813459</x:v>
      </x:c>
      <x:c r="V26" s="16"/>
      <x:c r="W26" s="16"/>
      <x:c r="X26" s="16"/>
      <x:c r="Y26" s="16"/>
      <x:c r="Z26" s="16"/>
    </x:row>
    <x:row r="27" ht="15.75" hidden="1" customHeight="1">
      <x:c r="A27" s="16"/>
      <x:c r="B27" s="25" t="s">
        <x:v>36</x:v>
      </x:c>
      <x:c r="C27" s="25"/>
      <x:c r="D27" s="26"/>
      <x:c r="E27" s="33"/>
      <x:c r="F27" s="33"/>
      <x:c r="G27" s="33"/>
      <x:c r="H27" s="33"/>
      <x:c r="I27" s="33"/>
      <x:c r="J27" s="25"/>
      <x:c r="K27" s="25"/>
      <x:c r="L27" s="25"/>
      <x:c r="M27" s="25"/>
      <x:c r="N27" s="25"/>
      <x:c r="V27" s="16"/>
      <x:c r="W27" s="16"/>
      <x:c r="X27" s="16"/>
      <x:c r="Y27" s="16"/>
      <x:c r="Z27" s="16"/>
    </x:row>
    <x:row r="28" ht="15.75" hidden="1" customHeight="1">
      <x:c r="A28" s="16"/>
      <x:c r="B28" s="16" t="s">
        <x:v>37</x:v>
      </x:c>
      <x:c r="C28" s="16"/>
      <x:c r="D28" s="22"/>
      <x:c r="E28" s="29">
        <x:v>26427</x:v>
      </x:c>
      <x:c r="F28" s="29">
        <x:v>22658</x:v>
      </x:c>
      <x:c r="G28" s="29">
        <x:v>23872</x:v>
      </x:c>
      <x:c r="H28" s="29">
        <x:v>23002</x:v>
      </x:c>
      <x:c r="I28" s="29">
        <x:v>25245</x:v>
      </x:c>
      <x:c r="J28" s="16" t="n">
        <x:f t="shared" ref="J28:N28" si="18">J9</x:f>
        <x:v>25000</x:v>
      </x:c>
      <x:c r="K28" s="16">
        <x:f t="shared" si="18"/>
        <x:v>25000</x:v>
      </x:c>
      <x:c r="L28" s="16">
        <x:f t="shared" si="18"/>
        <x:v>25000</x:v>
      </x:c>
      <x:c r="M28" s="16">
        <x:f t="shared" si="18"/>
        <x:v>25000</x:v>
      </x:c>
      <x:c r="N28" s="16">
        <x:f t="shared" si="18"/>
        <x:v>25000</x:v>
      </x:c>
      <x:c r="V28" s="16"/>
      <x:c r="W28" s="16"/>
      <x:c r="X28" s="16"/>
      <x:c r="Y28" s="16"/>
      <x:c r="Z28" s="16"/>
    </x:row>
    <x:row r="29" ht="15.75" hidden="1" customHeight="1">
      <x:c r="A29" s="16"/>
      <x:c r="B29" s="16" t="s">
        <x:v>38</x:v>
      </x:c>
      <x:c r="C29" s="16"/>
      <x:c r="D29" s="22"/>
      <x:c r="E29" s="29">
        <x:v>10963</x:v>
      </x:c>
      <x:c r="F29" s="29">
        <x:v>10125</x:v>
      </x:c>
      <x:c r="G29" s="29">
        <x:v>10087</x:v>
      </x:c>
      <x:c r="H29" s="29">
        <x:v>11020</x:v>
      </x:c>
      <x:c r="I29" s="29">
        <x:v>11412</x:v>
      </x:c>
      <x:c r="J29" s="16" t="n">
        <x:f t="shared" ref="J29:N29" si="19">J10</x:f>
        <x:v>10000</x:v>
      </x:c>
      <x:c r="K29" s="16">
        <x:f t="shared" si="19"/>
        <x:v>10000</x:v>
      </x:c>
      <x:c r="L29" s="16">
        <x:f t="shared" si="19"/>
        <x:v>10000</x:v>
      </x:c>
      <x:c r="M29" s="16">
        <x:f t="shared" si="19"/>
        <x:v>10000</x:v>
      </x:c>
      <x:c r="N29" s="16">
        <x:f t="shared" si="19"/>
        <x:v>10000</x:v>
      </x:c>
      <x:c r="V29" s="16"/>
      <x:c r="W29" s="16"/>
      <x:c r="X29" s="16"/>
      <x:c r="Y29" s="16"/>
      <x:c r="Z29" s="16"/>
    </x:row>
    <x:row r="30" ht="15.75" hidden="1" customHeight="1">
      <x:c r="A30" s="16"/>
      <x:c r="B30" s="16" t="s">
        <x:v>39</x:v>
      </x:c>
      <x:c r="C30" s="16"/>
      <x:c r="D30" s="22"/>
      <x:c r="E30" s="29">
        <x:v>19500</x:v>
      </x:c>
      <x:c r="F30" s="29">
        <x:v>18150</x:v>
      </x:c>
      <x:c r="G30" s="29">
        <x:v>17205</x:v>
      </x:c>
      <x:c r="H30" s="29">
        <x:v>16543.5</x:v>
      </x:c>
      <x:c r="I30" s="29">
        <x:v>16080.449999999999</x:v>
      </x:c>
      <x:c r="J30" s="16" t="n">
        <x:f t="shared" ref="J30:N30" si="20">J94</x:f>
        <x:v>15008.420000000002</x:v>
      </x:c>
      <x:c r="K30" s="16">
        <x:f t="shared" si="20"/>
        <x:v>15005.052000000003</x:v>
      </x:c>
      <x:c r="L30" s="16">
        <x:f t="shared" si="20"/>
        <x:v>13003.031200000001</x:v>
      </x:c>
      <x:c r="M30" s="16">
        <x:f t="shared" si="20"/>
        <x:v>17801.818719999999</x:v>
      </x:c>
      <x:c r="N30" s="16">
        <x:f t="shared" si="20"/>
        <x:v>14681.091232000001</x:v>
      </x:c>
      <x:c r="V30" s="16"/>
      <x:c r="W30" s="16"/>
      <x:c r="X30" s="16"/>
      <x:c r="Y30" s="16"/>
      <x:c r="Z30" s="16"/>
    </x:row>
    <x:row r="31" ht="15.75" hidden="1" customHeight="1">
      <x:c r="A31" s="16"/>
      <x:c r="B31" s="37" t="s">
        <x:v>40</x:v>
      </x:c>
      <x:c r="C31" s="37"/>
      <x:c r="D31" s="38"/>
      <x:c r="E31" s="39">
        <x:v>2500</x:v>
      </x:c>
      <x:c r="F31" s="39">
        <x:v>2500</x:v>
      </x:c>
      <x:c r="G31" s="39">
        <x:v>1500</x:v>
      </x:c>
      <x:c r="H31" s="39">
        <x:v>900</x:v>
      </x:c>
      <x:c r="I31" s="39">
        <x:v>900</x:v>
      </x:c>
      <x:c r="J31" s="37" t="n">
        <x:f t="shared" ref="J31:N31" si="21">J101</x:f>
        <x:v>900</x:v>
      </x:c>
      <x:c r="K31" s="37">
        <x:f t="shared" si="21"/>
        <x:v>900</x:v>
      </x:c>
      <x:c r="L31" s="37">
        <x:f t="shared" si="21"/>
        <x:v>900</x:v>
      </x:c>
      <x:c r="M31" s="37">
        <x:f t="shared" si="21"/>
        <x:v>300</x:v>
      </x:c>
      <x:c r="N31" s="37">
        <x:f t="shared" si="21"/>
        <x:v>300</x:v>
      </x:c>
      <x:c r="V31" s="16"/>
      <x:c r="W31" s="16"/>
      <x:c r="X31" s="16"/>
      <x:c r="Y31" s="16"/>
      <x:c r="Z31" s="16"/>
    </x:row>
    <x:row r="32" ht="15.75" hidden="1" customHeight="1">
      <x:c r="A32" s="16"/>
      <x:c r="B32" s="25" t="s">
        <x:v>41</x:v>
      </x:c>
      <x:c r="C32" s="16"/>
      <x:c r="D32" s="22"/>
      <x:c r="E32" s="25" t="n">
        <x:f t="shared" ref="E32:N32" si="22">SUM(E28:E31)</x:f>
        <x:v>59390</x:v>
      </x:c>
      <x:c r="F32" s="25">
        <x:f t="shared" si="22"/>
        <x:v>53433</x:v>
      </x:c>
      <x:c r="G32" s="25">
        <x:f t="shared" si="22"/>
        <x:v>52664</x:v>
      </x:c>
      <x:c r="H32" s="25">
        <x:f t="shared" si="22"/>
        <x:v>51465.5</x:v>
      </x:c>
      <x:c r="I32" s="25">
        <x:f t="shared" si="22"/>
        <x:v>53637.45</x:v>
      </x:c>
      <x:c r="J32" s="25">
        <x:f t="shared" si="22"/>
        <x:v>50908.42</x:v>
      </x:c>
      <x:c r="K32" s="25">
        <x:f t="shared" si="22"/>
        <x:v>50905.052000000003</x:v>
      </x:c>
      <x:c r="L32" s="25">
        <x:f t="shared" si="22"/>
        <x:v>48903.031199999998</x:v>
      </x:c>
      <x:c r="M32" s="25">
        <x:f t="shared" si="22"/>
        <x:v>53101.818719999996</x:v>
      </x:c>
      <x:c r="N32" s="25">
        <x:f t="shared" si="22"/>
        <x:v>49981.091231999999</x:v>
      </x:c>
      <x:c r="V32" s="16"/>
      <x:c r="W32" s="16"/>
      <x:c r="X32" s="16"/>
      <x:c r="Y32" s="16"/>
      <x:c r="Z32" s="16"/>
    </x:row>
    <x:row r="33" ht="15.75" hidden="1" customHeight="1">
      <x:c r="A33" s="16"/>
      <x:c r="B33" s="35" t="s">
        <x:v>42</x:v>
      </x:c>
      <x:c r="C33" s="35"/>
      <x:c r="D33" s="36"/>
      <x:c r="E33" s="35" t="n">
        <x:f t="shared" ref="E33:N33" si="23">E26-E32</x:f>
        <x:v>3594</x:v>
      </x:c>
      <x:c r="F33" s="35">
        <x:f t="shared" si="23"/>
        <x:v>16649</x:v>
      </x:c>
      <x:c r="G33" s="35">
        <x:f t="shared" si="23"/>
        <x:v>29558</x:v>
      </x:c>
      <x:c r="H33" s="35">
        <x:f t="shared" si="23"/>
        <x:v>37621.5</x:v>
      </x:c>
      <x:c r="I33" s="35">
        <x:f t="shared" si="23"/>
        <x:v>39824.550000000003</x:v>
      </x:c>
      <x:c r="J33" s="35">
        <x:f t="shared" si="23"/>
        <x:v>48827.258000000016</x:v>
      </x:c>
      <x:c r="K33" s="35">
        <x:f t="shared" si="23"/>
        <x:v>53318.731509999991</x:v>
      </x:c>
      <x:c r="L33" s="35">
        <x:f t="shared" si="23"/>
        <x:v>61210.22325119999</x:v>
      </x:c>
      <x:c r="M33" s="35">
        <x:f t="shared" si="23"/>
        <x:v>60865.399636991991</x:v>
      </x:c>
      <x:c r="N33" s="35">
        <x:f t="shared" si="23"/>
        <x:v>69239.303596134589</x:v>
      </x:c>
      <x:c r="V33" s="16"/>
      <x:c r="W33" s="16"/>
      <x:c r="X33" s="16"/>
      <x:c r="Y33" s="16"/>
      <x:c r="Z33" s="16"/>
    </x:row>
    <x:row r="34" ht="15.75" hidden="1" customHeight="1">
      <x:c r="A34" s="16"/>
      <x:c r="B34" s="25"/>
      <x:c r="C34" s="25"/>
      <x:c r="D34" s="26"/>
      <x:c r="E34" s="33"/>
      <x:c r="F34" s="33"/>
      <x:c r="G34" s="33"/>
      <x:c r="H34" s="33"/>
      <x:c r="I34" s="33"/>
      <x:c r="J34" s="25"/>
      <x:c r="K34" s="25"/>
      <x:c r="L34" s="25"/>
      <x:c r="M34" s="25"/>
      <x:c r="N34" s="25"/>
      <x:c r="V34" s="16"/>
      <x:c r="W34" s="16"/>
      <x:c r="X34" s="16"/>
      <x:c r="Y34" s="16"/>
      <x:c r="Z34" s="16"/>
    </x:row>
    <x:row r="35" ht="15.75" hidden="1" customHeight="1">
      <x:c r="A35" s="16"/>
      <x:c r="B35" s="16" t="s">
        <x:v>43</x:v>
      </x:c>
      <x:c r="C35" s="16"/>
      <x:c r="D35" s="22"/>
      <x:c r="E35" s="29">
        <x:v>1120.1708000000001</x:v>
      </x:c>
      <x:c r="F35" s="29">
        <x:v>4858.2165021220308</x:v>
      </x:c>
      <x:c r="G35" s="29">
        <x:v>8482.8061148686775</x:v>
      </x:c>
      <x:c r="H35" s="29">
        <x:v>10908.02097640469</x:v>
      </x:c>
      <x:c r="I35" s="29">
        <x:v>11597.665241419718</x:v>
      </x:c>
      <x:c r="J35" s="34" t="n">
        <x:f t="shared" ref="J35:N35" si="24">J33*J13</x:f>
        <x:v>13671.632240000006</x:v>
      </x:c>
      <x:c r="K35" s="34">
        <x:f t="shared" si="24"/>
        <x:v>14929.244822799999</x:v>
      </x:c>
      <x:c r="L35" s="34">
        <x:f t="shared" si="24"/>
        <x:v>17138.862510335999</x:v>
      </x:c>
      <x:c r="M35" s="34">
        <x:f t="shared" si="24"/>
        <x:v>17042.311898357759</x:v>
      </x:c>
      <x:c r="N35" s="34">
        <x:f t="shared" si="24"/>
        <x:v>19387.005006917687</x:v>
      </x:c>
      <x:c r="V35" s="16"/>
      <x:c r="W35" s="16"/>
      <x:c r="X35" s="16"/>
      <x:c r="Y35" s="16"/>
      <x:c r="Z35" s="16"/>
    </x:row>
    <x:row r="36" ht="15.75" hidden="1" customHeight="1">
      <x:c r="A36" s="16"/>
      <x:c r="B36" s="40" t="s">
        <x:v>44</x:v>
      </x:c>
      <x:c r="C36" s="40"/>
      <x:c r="D36" s="41"/>
      <x:c r="E36" s="40" t="n">
        <x:f t="shared" ref="E36:N36" si="25">E33-E35</x:f>
        <x:v>2473.8292</x:v>
      </x:c>
      <x:c r="F36" s="40">
        <x:f t="shared" si="25"/>
        <x:v>11790.783497877968</x:v>
      </x:c>
      <x:c r="G36" s="40">
        <x:f t="shared" si="25"/>
        <x:v>21075.193885131324</x:v>
      </x:c>
      <x:c r="H36" s="40">
        <x:f t="shared" si="25"/>
        <x:v>26713.479023595311</x:v>
      </x:c>
      <x:c r="I36" s="40">
        <x:f t="shared" si="25"/>
        <x:v>28226.884758580287</x:v>
      </x:c>
      <x:c r="J36" s="40">
        <x:f t="shared" si="25"/>
        <x:v>35155.62576000001</x:v>
      </x:c>
      <x:c r="K36" s="40">
        <x:f t="shared" si="25"/>
        <x:v>38389.486687199991</x:v>
      </x:c>
      <x:c r="L36" s="40">
        <x:f t="shared" si="25"/>
        <x:v>44071.360740863995</x:v>
      </x:c>
      <x:c r="M36" s="40">
        <x:f t="shared" si="25"/>
        <x:v>43823.087738634233</x:v>
      </x:c>
      <x:c r="N36" s="40">
        <x:f t="shared" si="25"/>
        <x:v>49852.298589216902</x:v>
      </x:c>
      <x:c r="V36" s="16"/>
      <x:c r="W36" s="16"/>
      <x:c r="X36" s="16"/>
      <x:c r="Y36" s="16"/>
      <x:c r="Z36" s="16"/>
    </x:row>
    <x:row r="37" ht="15.75" hidden="1" customHeight="1">
      <x:c r="A37" s="16"/>
      <x:c r="B37" s="16"/>
      <x:c r="C37" s="16"/>
      <x:c r="D37" s="22"/>
      <x:c r="E37" s="29"/>
      <x:c r="F37" s="29"/>
      <x:c r="G37" s="29"/>
      <x:c r="H37" s="29"/>
      <x:c r="I37" s="29"/>
      <x:c r="J37" s="16"/>
      <x:c r="K37" s="16"/>
      <x:c r="L37" s="16"/>
      <x:c r="M37" s="16"/>
      <x:c r="N37" s="16"/>
      <x:c r="V37" s="16"/>
      <x:c r="W37" s="16"/>
      <x:c r="X37" s="16"/>
      <x:c r="Y37" s="16"/>
      <x:c r="Z37" s="16"/>
    </x:row>
    <x:row r="38" ht="15.75" customHeight="1">
      <x:c r="A38" s="16"/>
      <x:c r="B38" s="16"/>
      <x:c r="C38" s="16"/>
      <x:c r="D38" s="22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V38" s="16"/>
      <x:c r="W38" s="16"/>
      <x:c r="X38" s="16"/>
      <x:c r="Y38" s="16"/>
      <x:c r="Z38" s="16"/>
    </x:row>
    <x:row r="39" ht="15.75" customHeight="1">
      <x:c r="A39" s="16"/>
      <x:c r="B39" s="24" t="s">
        <x:v>25</x:v>
      </x:c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V39" s="16"/>
      <x:c r="W39" s="16"/>
      <x:c r="X39" s="16"/>
      <x:c r="Y39" s="16"/>
      <x:c r="Z39" s="16"/>
    </x:row>
    <x:row r="40" ht="15.75" customHeight="1">
      <x:c r="A40" s="16"/>
      <x:c r="B40" s="25" t="s">
        <x:v>45</x:v>
      </x:c>
      <x:c r="C40" s="16"/>
      <x:c r="D40" s="22"/>
      <x:c r="E40" s="29"/>
      <x:c r="F40" s="29"/>
      <x:c r="G40" s="29"/>
      <x:c r="H40" s="29"/>
      <x:c r="I40" s="29"/>
      <x:c r="J40" s="16"/>
      <x:c r="K40" s="16"/>
      <x:c r="L40" s="16"/>
      <x:c r="M40" s="16"/>
      <x:c r="N40" s="16"/>
      <x:c r="V40" s="16"/>
      <x:c r="W40" s="16"/>
      <x:c r="X40" s="16"/>
      <x:c r="Y40" s="16"/>
      <x:c r="Z40" s="16"/>
    </x:row>
    <x:row r="41" ht="15.75" customHeight="1">
      <x:c r="A41" s="16"/>
      <x:c r="B41" s="16" t="s">
        <x:v>46</x:v>
      </x:c>
      <x:c r="C41" s="16"/>
      <x:c r="E41" s="29">
        <x:v>167971.17920000001</x:v>
      </x:c>
      <x:c r="F41" s="29">
        <x:v>181209.91269787797</x:v>
      </x:c>
      <x:c r="G41" s="29">
        <x:v>183715.25658300929</x:v>
      </x:c>
      <x:c r="H41" s="29">
        <x:v>211069.33560660461</x:v>
      </x:c>
      <x:c r="I41" s="29">
        <x:v>239549.5203651849</x:v>
      </x:c>
      <x:c r="J41" s="16" t="n">
        <x:f t="shared" ref="J41:N41" si="26">J78</x:f>
        <x:v>274338.8154621712</x:v>
      </x:c>
      <x:c r="K41" s="16">
        <x:f t="shared" si="26"/>
        <x:v>317122.0583695356</x:v>
      </x:c>
      <x:c r="L41" s="16">
        <x:f t="shared" si="26"/>
        <x:v>328798.31953660015</x:v>
      </x:c>
      <x:c r="M41" s="16">
        <x:f t="shared" si="26"/>
        <x:v>229912.44379265167</x:v>
      </x:c>
      <x:c r="N41" s="16">
        <x:f t="shared" si="26"/>
        <x:v>279173.6002754987</x:v>
      </x:c>
      <x:c r="V41" s="16"/>
      <x:c r="W41" s="16"/>
      <x:c r="X41" s="16"/>
      <x:c r="Y41" s="16"/>
      <x:c r="Z41" s="16"/>
    </x:row>
    <x:row r="42" ht="15.75" customHeight="1">
      <x:c r="A42" s="16"/>
      <x:c r="B42" s="16" t="s">
        <x:v>47</x:v>
      </x:c>
      <x:c r="C42" s="16"/>
      <x:c r="E42" s="29">
        <x:v>5100.3500000000004</x:v>
      </x:c>
      <x:c r="F42" s="29">
        <x:v>5904.3</x:v>
      </x:c>
      <x:c r="G42" s="29">
        <x:v>6567.25</x:v>
      </x:c>
      <x:c r="H42" s="29">
        <x:v>7117.05</x:v>
      </x:c>
      <x:c r="I42" s="29">
        <x:v>7538.6</x:v>
      </x:c>
      <x:c r="J42" s="42" t="n">
        <x:f t="shared" ref="J42:N42" si="27">J24*J15/365</x:f>
        <x:v>7807.098082191782</x:v>
      </x:c>
      <x:c r="K42" s="42">
        <x:f t="shared" si="27"/>
        <x:v>8158.4174958904105</x:v>
      </x:c>
      <x:c r="L42" s="42">
        <x:f t="shared" si="27"/>
        <x:v>8484.7541957260273</x:v>
      </x:c>
      <x:c r="M42" s="42">
        <x:f t="shared" si="27"/>
        <x:v>8781.7205925764374</x:v>
      </x:c>
      <x:c r="N42" s="42">
        <x:f t="shared" si="27"/>
        <x:v>9045.1722103537304</x:v>
      </x:c>
      <x:c r="V42" s="16"/>
      <x:c r="W42" s="16"/>
      <x:c r="X42" s="16"/>
      <x:c r="Y42" s="16"/>
      <x:c r="Z42" s="16"/>
    </x:row>
    <x:row r="43" ht="15.75" customHeight="1">
      <x:c r="A43" s="16"/>
      <x:c r="B43" s="16" t="s">
        <x:v>48</x:v>
      </x:c>
      <x:c r="C43" s="16"/>
      <x:c r="E43" s="29">
        <x:v>7804.6</x:v>
      </x:c>
      <x:c r="F43" s="29">
        <x:v>9600.8000000000011</x:v>
      </x:c>
      <x:c r="G43" s="29">
        <x:v>9824.6</x:v>
      </x:c>
      <x:c r="H43" s="29">
        <x:v>10530.800000000001</x:v>
      </x:c>
      <x:c r="I43" s="29">
        <x:v>11342</x:v>
      </x:c>
      <x:c r="J43" s="16" t="n">
        <x:f t="shared" ref="J43:N43" si="28">J25*J16/365</x:f>
        <x:v>11714.9844</x:v>
      </x:c>
      <x:c r="K43" s="16">
        <x:f t="shared" si="28"/>
        <x:v>12242.158697999999</x:v>
      </x:c>
      <x:c r="L43" s="16">
        <x:f t="shared" si="28"/>
        <x:v>12387.741125759998</x:v>
      </x:c>
      <x:c r="M43" s="16">
        <x:f t="shared" si="28"/>
        <x:v>12821.312065161599</x:v>
      </x:c>
      <x:c r="N43" s="16">
        <x:f t="shared" si="28"/>
        <x:v>12839.119443029876</x:v>
      </x:c>
      <x:c r="V43" s="16"/>
      <x:c r="W43" s="16"/>
      <x:c r="X43" s="16"/>
      <x:c r="Y43" s="16"/>
      <x:c r="Z43" s="16"/>
    </x:row>
    <x:row r="44" ht="15.75" customHeight="1">
      <x:c r="A44" s="16"/>
      <x:c r="B44" s="16" t="s">
        <x:v>49</x:v>
      </x:c>
      <x:c r="C44" s="16"/>
      <x:c r="D44" s="22"/>
      <x:c r="E44" s="29">
        <x:v>45500</x:v>
      </x:c>
      <x:c r="F44" s="29">
        <x:v>42350</x:v>
      </x:c>
      <x:c r="G44" s="29">
        <x:v>40145</x:v>
      </x:c>
      <x:c r="H44" s="29">
        <x:v>38601.5</x:v>
      </x:c>
      <x:c r="I44" s="29">
        <x:v>37521.050000000003</x:v>
      </x:c>
      <x:c r="J44" s="16" t="n">
        <x:f t="shared" ref="J44:N44" si="29">J95</x:f>
        <x:v>37512.630000000005</x:v>
      </x:c>
      <x:c r="K44" s="16">
        <x:f t="shared" si="29"/>
        <x:v>32507.578000000001</x:v>
      </x:c>
      <x:c r="L44" s="16">
        <x:f t="shared" si="29"/>
        <x:v>44504.546799999996</x:v>
      </x:c>
      <x:c r="M44" s="16">
        <x:f t="shared" si="29"/>
        <x:v>36702.728080000001</x:v>
      </x:c>
      <x:c r="N44" s="16">
        <x:f t="shared" si="29"/>
        <x:v>37021.636848000002</x:v>
      </x:c>
      <x:c r="V44" s="16"/>
      <x:c r="W44" s="16"/>
      <x:c r="X44" s="16"/>
      <x:c r="Y44" s="16"/>
      <x:c r="Z44" s="16"/>
    </x:row>
    <x:row r="45" ht="15.75" customHeight="1">
      <x:c r="A45" s="16"/>
      <x:c r="B45" s="40" t="s">
        <x:v>50</x:v>
      </x:c>
      <x:c r="C45" s="40"/>
      <x:c r="D45" s="41"/>
      <x:c r="E45" s="40" t="n">
        <x:f t="shared" ref="E45:N45" si="30">SUM(E41:E44)</x:f>
        <x:v>226376.12920000002</x:v>
      </x:c>
      <x:c r="F45" s="40">
        <x:f t="shared" si="30"/>
        <x:v>239065.01269787794</x:v>
      </x:c>
      <x:c r="G45" s="40">
        <x:f t="shared" si="30"/>
        <x:v>240252.1065830093</x:v>
      </x:c>
      <x:c r="H45" s="40">
        <x:f t="shared" si="30"/>
        <x:v>267318.68560660456</x:v>
      </x:c>
      <x:c r="I45" s="40">
        <x:f t="shared" si="30"/>
        <x:v>295951.17036518489</x:v>
      </x:c>
      <x:c r="J45" s="40">
        <x:f t="shared" si="30"/>
        <x:v>331373.52794436301</x:v>
      </x:c>
      <x:c r="K45" s="40">
        <x:f t="shared" si="30"/>
        <x:v>370030.212563426</x:v>
      </x:c>
      <x:c r="L45" s="40">
        <x:f t="shared" si="30"/>
        <x:v>394175.36165808619</x:v>
      </x:c>
      <x:c r="M45" s="40">
        <x:f t="shared" si="30"/>
        <x:v>288218.20453038969</x:v>
      </x:c>
      <x:c r="N45" s="40">
        <x:f t="shared" si="30"/>
        <x:v>338079.52877688227</x:v>
      </x:c>
      <x:c r="V45" s="16"/>
      <x:c r="W45" s="16"/>
      <x:c r="X45" s="16"/>
      <x:c r="Y45" s="16"/>
      <x:c r="Z45" s="16"/>
    </x:row>
    <x:row r="46" ht="15.75" customHeight="1">
      <x:c r="A46" s="16"/>
      <x:c r="B46" s="25"/>
      <x:c r="C46" s="25"/>
      <x:c r="D46" s="26"/>
      <x:c r="E46" s="33"/>
      <x:c r="F46" s="33"/>
      <x:c r="G46" s="33"/>
      <x:c r="H46" s="33"/>
      <x:c r="I46" s="33"/>
      <x:c r="J46" s="25"/>
      <x:c r="K46" s="25"/>
      <x:c r="L46" s="25"/>
      <x:c r="M46" s="25"/>
      <x:c r="N46" s="25"/>
      <x:c r="V46" s="16"/>
      <x:c r="W46" s="16"/>
      <x:c r="X46" s="16"/>
      <x:c r="Y46" s="16"/>
      <x:c r="Z46" s="16"/>
    </x:row>
    <x:row r="47" ht="15.75" customHeight="1">
      <x:c r="A47" s="16"/>
      <x:c r="B47" s="25" t="s">
        <x:v>51</x:v>
      </x:c>
      <x:c r="C47" s="16"/>
      <x:c r="E47" s="29"/>
      <x:c r="F47" s="29"/>
      <x:c r="G47" s="29"/>
      <x:c r="H47" s="29"/>
      <x:c r="I47" s="29"/>
      <x:c r="J47" s="16"/>
      <x:c r="K47" s="16"/>
      <x:c r="L47" s="16"/>
      <x:c r="M47" s="16"/>
      <x:c r="N47" s="16"/>
      <x:c r="V47" s="16"/>
      <x:c r="W47" s="16"/>
      <x:c r="X47" s="16"/>
      <x:c r="Y47" s="16"/>
      <x:c r="Z47" s="16"/>
    </x:row>
    <x:row r="48" ht="15.75" customHeight="1">
      <x:c r="A48" s="16"/>
      <x:c r="B48" s="16" t="s">
        <x:v>52</x:v>
      </x:c>
      <x:c r="C48" s="16"/>
      <x:c r="E48" s="29">
        <x:v>3902.3</x:v>
      </x:c>
      <x:c r="F48" s="29">
        <x:v>4800.4000000000005</x:v>
      </x:c>
      <x:c r="G48" s="29">
        <x:v>4912.3</x:v>
      </x:c>
      <x:c r="H48" s="29">
        <x:v>5265.4000000000005</x:v>
      </x:c>
      <x:c r="I48" s="29">
        <x:v>5671</x:v>
      </x:c>
      <x:c r="J48" s="16" t="n">
        <x:f t="shared" ref="J48:N48" si="31">J25*J17/365</x:f>
        <x:v>5937.731819178082</x:v>
      </x:c>
      <x:c r="K48" s="16">
        <x:f t="shared" si="31"/>
        <x:v>6204.9297510410952</x:v>
      </x:c>
      <x:c r="L48" s="16">
        <x:f t="shared" si="31"/>
        <x:v>6278.7181048372595</x:v>
      </x:c>
      <x:c r="M48" s="16">
        <x:f t="shared" si="31"/>
        <x:v>6498.4732385065636</x:v>
      </x:c>
      <x:c r="N48" s="16">
        <x:f t="shared" si="31"/>
        <x:v>6507.498895782267</x:v>
      </x:c>
      <x:c r="V48" s="16"/>
      <x:c r="W48" s="16"/>
      <x:c r="X48" s="16"/>
      <x:c r="Y48" s="16"/>
      <x:c r="Z48" s="16"/>
    </x:row>
    <x:row r="49" ht="15.75" customHeight="1">
      <x:c r="A49" s="16"/>
      <x:c r="B49" s="16" t="s">
        <x:v>53</x:v>
      </x:c>
      <x:c r="C49" s="16"/>
      <x:c r="D49" s="22"/>
      <x:c r="E49" s="29">
        <x:v>50000</x:v>
      </x:c>
      <x:c r="F49" s="29">
        <x:v>50000</x:v>
      </x:c>
      <x:c r="G49" s="29">
        <x:v>30000</x:v>
      </x:c>
      <x:c r="H49" s="29">
        <x:v>30000</x:v>
      </x:c>
      <x:c r="I49" s="29">
        <x:v>30000</x:v>
      </x:c>
      <x:c r="J49" s="16" t="n">
        <x:f t="shared" ref="J49:N49" si="32">J100</x:f>
        <x:v>30000</x:v>
      </x:c>
      <x:c r="K49" s="16">
        <x:f t="shared" si="32"/>
        <x:v>30000</x:v>
      </x:c>
      <x:c r="L49" s="16">
        <x:f t="shared" si="32"/>
        <x:v>10000</x:v>
      </x:c>
      <x:c r="M49" s="16">
        <x:f t="shared" si="32"/>
        <x:v>10000</x:v>
      </x:c>
      <x:c r="N49" s="16">
        <x:f t="shared" si="32"/>
        <x:v>10000</x:v>
      </x:c>
      <x:c r="V49" s="16"/>
      <x:c r="W49" s="16"/>
      <x:c r="X49" s="16"/>
      <x:c r="Y49" s="16"/>
      <x:c r="Z49" s="16"/>
    </x:row>
    <x:row r="50" ht="15.75" customHeight="1">
      <x:c r="A50" s="16"/>
      <x:c r="B50" s="35" t="s">
        <x:v>54</x:v>
      </x:c>
      <x:c r="C50" s="35"/>
      <x:c r="D50" s="36"/>
      <x:c r="E50" s="35" t="n">
        <x:f t="shared" ref="E50:N50" si="33">SUM(E48:E49)</x:f>
        <x:v>53902.3</x:v>
      </x:c>
      <x:c r="F50" s="35">
        <x:f t="shared" si="33"/>
        <x:v>54800.4</x:v>
      </x:c>
      <x:c r="G50" s="35">
        <x:f t="shared" si="33"/>
        <x:v>34912.300000000003</x:v>
      </x:c>
      <x:c r="H50" s="35">
        <x:f t="shared" si="33"/>
        <x:v>35265.4</x:v>
      </x:c>
      <x:c r="I50" s="35">
        <x:f t="shared" si="33"/>
        <x:v>35671</x:v>
      </x:c>
      <x:c r="J50" s="35">
        <x:f t="shared" si="33"/>
        <x:v>35937.73181917808</x:v>
      </x:c>
      <x:c r="K50" s="35">
        <x:f t="shared" si="33"/>
        <x:v>36204.929751041098</x:v>
      </x:c>
      <x:c r="L50" s="35">
        <x:f t="shared" si="33"/>
        <x:v>16278.718104837259</x:v>
      </x:c>
      <x:c r="M50" s="35">
        <x:f t="shared" si="33"/>
        <x:v>16498.473238506565</x:v>
      </x:c>
      <x:c r="N50" s="35">
        <x:f t="shared" si="33"/>
        <x:v>16507.498895782268</x:v>
      </x:c>
      <x:c r="V50" s="16"/>
      <x:c r="W50" s="16"/>
      <x:c r="X50" s="16"/>
      <x:c r="Y50" s="16"/>
      <x:c r="Z50" s="16"/>
    </x:row>
    <x:row r="51" ht="15.75" customHeight="1">
      <x:c r="A51" s="16"/>
      <x:c r="B51" s="25" t="s">
        <x:v>55</x:v>
      </x:c>
      <x:c r="C51" s="16"/>
      <x:c r="D51" s="22"/>
      <x:c r="E51" s="29"/>
      <x:c r="F51" s="29"/>
      <x:c r="G51" s="29"/>
      <x:c r="H51" s="29"/>
      <x:c r="I51" s="29"/>
      <x:c r="J51" s="16"/>
      <x:c r="K51" s="16"/>
      <x:c r="L51" s="16"/>
      <x:c r="M51" s="16"/>
      <x:c r="N51" s="16"/>
      <x:c r="V51" s="16"/>
      <x:c r="W51" s="16"/>
      <x:c r="X51" s="16"/>
      <x:c r="Y51" s="16"/>
      <x:c r="Z51" s="16"/>
    </x:row>
    <x:row r="52" ht="15.75" customHeight="1">
      <x:c r="A52" s="16"/>
      <x:c r="B52" s="16" t="s">
        <x:v>56</x:v>
      </x:c>
      <x:c r="C52" s="16"/>
      <x:c r="D52" s="22"/>
      <x:c r="E52" s="29">
        <x:v>170000</x:v>
      </x:c>
      <x:c r="F52" s="29">
        <x:v>170000</x:v>
      </x:c>
      <x:c r="G52" s="29">
        <x:v>170000</x:v>
      </x:c>
      <x:c r="H52" s="29">
        <x:v>170000</x:v>
      </x:c>
      <x:c r="I52" s="29">
        <x:v>170000</x:v>
      </x:c>
      <x:c r="J52" s="16" t="n">
        <x:f t="shared" ref="J52:N52" si="34">I52+J20</x:f>
        <x:v>170000</x:v>
      </x:c>
      <x:c r="K52" s="16">
        <x:f t="shared" si="34"/>
        <x:v>170000</x:v>
      </x:c>
      <x:c r="L52" s="16">
        <x:f t="shared" si="34"/>
        <x:v>170000</x:v>
      </x:c>
      <x:c r="M52" s="16">
        <x:f t="shared" si="34"/>
        <x:v>20000</x:v>
      </x:c>
      <x:c r="N52" s="16">
        <x:f t="shared" si="34"/>
        <x:v>20000</x:v>
      </x:c>
      <x:c r="V52" s="16"/>
      <x:c r="W52" s="16"/>
      <x:c r="X52" s="16"/>
      <x:c r="Y52" s="16"/>
      <x:c r="Z52" s="16"/>
    </x:row>
    <x:row r="53" ht="15.75" customHeight="1">
      <x:c r="A53" s="16"/>
      <x:c r="B53" s="16" t="s">
        <x:v>57</x:v>
      </x:c>
      <x:c r="C53" s="16"/>
      <x:c r="D53" s="22"/>
      <x:c r="E53" s="29">
        <x:v>2473.8292000000001</x:v>
      </x:c>
      <x:c r="F53" s="29">
        <x:v>14264.612697877968</x:v>
      </x:c>
      <x:c r="G53" s="29">
        <x:v>35339.806583009296</x:v>
      </x:c>
      <x:c r="H53" s="29">
        <x:v>62053.285606604608</x:v>
      </x:c>
      <x:c r="I53" s="29">
        <x:v>90280.170365184895</x:v>
      </x:c>
      <x:c r="J53" s="16" t="n">
        <x:f t="shared" ref="J53:N53" si="35">I53+J36</x:f>
        <x:v>125435.7961251849</x:v>
      </x:c>
      <x:c r="K53" s="16">
        <x:f t="shared" si="35"/>
        <x:v>163825.28281238489</x:v>
      </x:c>
      <x:c r="L53" s="16">
        <x:f t="shared" si="35"/>
        <x:v>207896.6435532489</x:v>
      </x:c>
      <x:c r="M53" s="16">
        <x:f t="shared" si="35"/>
        <x:v>251719.73129188313</x:v>
      </x:c>
      <x:c r="N53" s="16">
        <x:f t="shared" si="35"/>
        <x:v>301572.02988110005</x:v>
      </x:c>
      <x:c r="V53" s="16"/>
      <x:c r="W53" s="16"/>
      <x:c r="X53" s="16"/>
      <x:c r="Y53" s="16"/>
      <x:c r="Z53" s="16"/>
    </x:row>
    <x:row r="54" ht="15.75" customHeight="1">
      <x:c r="A54" s="16"/>
      <x:c r="B54" s="43" t="s">
        <x:v>55</x:v>
      </x:c>
      <x:c r="C54" s="43"/>
      <x:c r="D54" s="44"/>
      <x:c r="E54" s="43" t="n">
        <x:f t="shared" ref="E54:N54" si="36">SUM(E52:E53)</x:f>
        <x:v>172473.8292</x:v>
      </x:c>
      <x:c r="F54" s="43">
        <x:f t="shared" si="36"/>
        <x:v>184264.61269787798</x:v>
      </x:c>
      <x:c r="G54" s="43">
        <x:f t="shared" si="36"/>
        <x:v>205339.80658300931</x:v>
      </x:c>
      <x:c r="H54" s="43">
        <x:f t="shared" si="36"/>
        <x:v>232053.28560660459</x:v>
      </x:c>
      <x:c r="I54" s="43">
        <x:f t="shared" si="36"/>
        <x:v>260280.17036518489</x:v>
      </x:c>
      <x:c r="J54" s="43">
        <x:f t="shared" si="36"/>
        <x:v>295435.79612518492</x:v>
      </x:c>
      <x:c r="K54" s="43">
        <x:f t="shared" si="36"/>
        <x:v>333825.28281238489</x:v>
      </x:c>
      <x:c r="L54" s="43">
        <x:f t="shared" si="36"/>
        <x:v>377896.6435532489</x:v>
      </x:c>
      <x:c r="M54" s="43">
        <x:f t="shared" si="36"/>
        <x:v>271719.73129188316</x:v>
      </x:c>
      <x:c r="N54" s="43">
        <x:f t="shared" si="36"/>
        <x:v>321572.02988110005</x:v>
      </x:c>
      <x:c r="V54" s="16"/>
      <x:c r="W54" s="16"/>
      <x:c r="X54" s="16"/>
      <x:c r="Y54" s="16"/>
      <x:c r="Z54" s="16"/>
    </x:row>
    <x:row r="55" ht="15.75" customHeight="1">
      <x:c r="A55" s="16"/>
      <x:c r="B55" s="40" t="s">
        <x:v>58</x:v>
      </x:c>
      <x:c r="C55" s="40"/>
      <x:c r="D55" s="41"/>
      <x:c r="E55" s="40" t="n">
        <x:f t="shared" ref="E55:N55" si="37">E50+E54</x:f>
        <x:v>226376.12920000002</x:v>
      </x:c>
      <x:c r="F55" s="40">
        <x:f t="shared" si="37"/>
        <x:v>239065.01269787797</x:v>
      </x:c>
      <x:c r="G55" s="40">
        <x:f t="shared" si="37"/>
        <x:v>240252.1065830093</x:v>
      </x:c>
      <x:c r="H55" s="40">
        <x:f t="shared" si="37"/>
        <x:v>267318.68560660462</x:v>
      </x:c>
      <x:c r="I55" s="40">
        <x:f t="shared" si="37"/>
        <x:v>295951.17036518489</x:v>
      </x:c>
      <x:c r="J55" s="40">
        <x:f t="shared" si="37"/>
        <x:v>331373.52794436301</x:v>
      </x:c>
      <x:c r="K55" s="40">
        <x:f t="shared" si="37"/>
        <x:v>370030.212563426</x:v>
      </x:c>
      <x:c r="L55" s="40">
        <x:f t="shared" si="37"/>
        <x:v>394175.36165808619</x:v>
      </x:c>
      <x:c r="M55" s="40">
        <x:f t="shared" si="37"/>
        <x:v>288218.20453038975</x:v>
      </x:c>
      <x:c r="N55" s="40">
        <x:f t="shared" si="37"/>
        <x:v>338079.52877688233</x:v>
      </x:c>
      <x:c r="V55" s="16"/>
      <x:c r="W55" s="16"/>
      <x:c r="X55" s="16"/>
      <x:c r="Y55" s="16"/>
      <x:c r="Z55" s="16"/>
    </x:row>
    <x:row r="56" ht="15.75" customHeight="1">
      <x:c r="A56" s="16"/>
      <x:c r="B56" s="16"/>
      <x:c r="C56" s="16"/>
      <x:c r="D56" s="22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V56" s="16"/>
      <x:c r="W56" s="16"/>
      <x:c r="X56" s="16"/>
      <x:c r="Y56" s="16"/>
      <x:c r="Z56" s="16"/>
    </x:row>
    <x:row r="57" ht="15.75" customHeight="1">
      <x:c r="A57" s="16"/>
      <x:c r="B57" s="30" t="s">
        <x:v>59</x:v>
      </x:c>
      <x:c r="C57" s="45"/>
      <x:c r="D57" s="46"/>
      <x:c r="E57" s="47" t="n">
        <x:f t="shared" ref="E57:N57" si="38">E55-E45</x:f>
        <x:v>0</x:v>
      </x:c>
      <x:c r="F57" s="47">
        <x:f t="shared" si="38"/>
        <x:v>0</x:v>
      </x:c>
      <x:c r="G57" s="47">
        <x:f t="shared" si="38"/>
        <x:v>0</x:v>
      </x:c>
      <x:c r="H57" s="47">
        <x:f t="shared" si="38"/>
        <x:v>0</x:v>
      </x:c>
      <x:c r="I57" s="47">
        <x:f t="shared" si="38"/>
        <x:v>0</x:v>
      </x:c>
      <x:c r="J57" s="47">
        <x:f t="shared" si="38"/>
        <x:v>0</x:v>
      </x:c>
      <x:c r="K57" s="47">
        <x:f t="shared" si="38"/>
        <x:v>0</x:v>
      </x:c>
      <x:c r="L57" s="47">
        <x:f t="shared" si="38"/>
        <x:v>0</x:v>
      </x:c>
      <x:c r="M57" s="47">
        <x:f t="shared" si="38"/>
        <x:v>0</x:v>
      </x:c>
      <x:c r="N57" s="47">
        <x:f t="shared" si="38"/>
        <x:v>0</x:v>
      </x:c>
      <x:c r="V57" s="16"/>
      <x:c r="W57" s="16"/>
      <x:c r="X57" s="16"/>
      <x:c r="Y57" s="16"/>
      <x:c r="Z57" s="16"/>
    </x:row>
    <x:row r="58" ht="15.75" customHeight="1">
      <x:c r="A58" s="16"/>
      <x:c r="B58" s="45"/>
      <x:c r="C58" s="45"/>
      <x:c r="D58" s="46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V58" s="16"/>
      <x:c r="W58" s="16"/>
      <x:c r="X58" s="16"/>
      <x:c r="Y58" s="16"/>
      <x:c r="Z58" s="16"/>
    </x:row>
    <x:row r="59" ht="15.75" customHeight="1">
      <x:c r="A59" s="16"/>
      <x:c r="B59" s="16"/>
      <x:c r="C59" s="16"/>
      <x:c r="D59" s="22"/>
      <x:c r="E59" s="29"/>
      <x:c r="F59" s="29"/>
      <x:c r="G59" s="29"/>
      <x:c r="H59" s="29"/>
      <x:c r="I59" s="29"/>
      <x:c r="J59" s="16"/>
      <x:c r="K59" s="16"/>
      <x:c r="L59" s="16"/>
      <x:c r="M59" s="16"/>
      <x:c r="N59" s="16"/>
      <x:c r="V59" s="16"/>
      <x:c r="W59" s="16"/>
      <x:c r="X59" s="16"/>
      <x:c r="Y59" s="16"/>
      <x:c r="Z59" s="16"/>
    </x:row>
    <x:row r="60" ht="15.75" customHeight="1">
      <x:c r="A60" s="16"/>
      <x:c r="B60" s="24" t="s">
        <x:v>60</x:v>
      </x:c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V60" s="16"/>
      <x:c r="W60" s="16"/>
      <x:c r="X60" s="16"/>
      <x:c r="Y60" s="16"/>
      <x:c r="Z60" s="16"/>
    </x:row>
    <x:row r="61" ht="15.75" customHeight="1">
      <x:c r="A61" s="16"/>
      <x:c r="B61" s="25" t="s">
        <x:v>61</x:v>
      </x:c>
      <x:c r="C61" s="16"/>
      <x:c r="D61" s="22"/>
      <x:c r="E61" s="29"/>
      <x:c r="F61" s="29"/>
      <x:c r="G61" s="29"/>
      <x:c r="H61" s="29"/>
      <x:c r="I61" s="29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 ht="15.75" customHeight="1">
      <x:c r="A62" s="16"/>
      <x:c r="B62" s="16" t="s">
        <x:v>44</x:v>
      </x:c>
      <x:c r="C62" s="16"/>
      <x:c r="D62" s="22"/>
      <x:c r="E62" s="16" t="n">
        <x:f t="shared" ref="E62:N62" si="39">E36</x:f>
        <x:v>2473.8292</x:v>
      </x:c>
      <x:c r="F62" s="16">
        <x:f t="shared" si="39"/>
        <x:v>11790.783497877968</x:v>
      </x:c>
      <x:c r="G62" s="16">
        <x:f t="shared" si="39"/>
        <x:v>21075.193885131324</x:v>
      </x:c>
      <x:c r="H62" s="16">
        <x:f t="shared" si="39"/>
        <x:v>26713.479023595311</x:v>
      </x:c>
      <x:c r="I62" s="16">
        <x:f t="shared" si="39"/>
        <x:v>28226.884758580287</x:v>
      </x:c>
      <x:c r="J62" s="16">
        <x:f t="shared" si="39"/>
        <x:v>35155.62576000001</x:v>
      </x:c>
      <x:c r="K62" s="16">
        <x:f t="shared" si="39"/>
        <x:v>38389.486687199991</x:v>
      </x:c>
      <x:c r="L62" s="16">
        <x:f t="shared" si="39"/>
        <x:v>44071.360740863995</x:v>
      </x:c>
      <x:c r="M62" s="16">
        <x:f t="shared" si="39"/>
        <x:v>43823.087738634233</x:v>
      </x:c>
      <x:c r="N62" s="16">
        <x:f t="shared" si="39"/>
        <x:v>49852.298589216902</x:v>
      </x:c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 ht="15.75" customHeight="1">
      <x:c r="A63" s="16"/>
      <x:c r="B63" s="16" t="s">
        <x:v>62</x:v>
      </x:c>
      <x:c r="C63" s="16"/>
      <x:c r="D63" s="22"/>
      <x:c r="E63" s="16" t="n">
        <x:f t="shared" ref="E63:N63" si="40">+E30</x:f>
        <x:v>19500</x:v>
      </x:c>
      <x:c r="F63" s="16">
        <x:f t="shared" si="40"/>
        <x:v>18150</x:v>
      </x:c>
      <x:c r="G63" s="16">
        <x:f t="shared" si="40"/>
        <x:v>17205</x:v>
      </x:c>
      <x:c r="H63" s="16">
        <x:f t="shared" si="40"/>
        <x:v>16543.5</x:v>
      </x:c>
      <x:c r="I63" s="16">
        <x:f t="shared" si="40"/>
        <x:v>16080.449999999999</x:v>
      </x:c>
      <x:c r="J63" s="16">
        <x:f t="shared" si="40"/>
        <x:v>15008.420000000002</x:v>
      </x:c>
      <x:c r="K63" s="16">
        <x:f t="shared" si="40"/>
        <x:v>15005.052000000003</x:v>
      </x:c>
      <x:c r="L63" s="16">
        <x:f t="shared" si="40"/>
        <x:v>13003.031200000001</x:v>
      </x:c>
      <x:c r="M63" s="16">
        <x:f t="shared" si="40"/>
        <x:v>17801.818719999999</x:v>
      </x:c>
      <x:c r="N63" s="16">
        <x:f t="shared" si="40"/>
        <x:v>14681.091232000001</x:v>
      </x:c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 ht="15.75" customHeight="1">
      <x:c r="A64" s="16"/>
      <x:c r="B64" s="16" t="s">
        <x:v>63</x:v>
      </x:c>
      <x:c r="C64" s="16"/>
      <x:c r="D64" s="22"/>
      <x:c r="E64" s="29">
        <x:v>9002.6500000000015</x:v>
      </x:c>
      <x:c r="F64" s="29">
        <x:v>1702.0499999999993</x:v>
      </x:c>
      <x:c r="G64" s="29">
        <x:v>774.84999999999854</x:v>
      </x:c>
      <x:c r="H64" s="29">
        <x:v>902.90000000000146</x:v>
      </x:c>
      <x:c r="I64" s="29">
        <x:v>827.14999999999782</x:v>
      </x:c>
      <x:c r="J64" s="16" t="n">
        <x:f t="shared" ref="J64:N64" si="41">J89</x:f>
        <x:v>374.7506630136995</x:v>
      </x:c>
      <x:c r="K64" s="16">
        <x:f t="shared" si="41"/>
        <x:v>611.2957798356183</x:v>
      </x:c>
      <x:c r="L64" s="16">
        <x:f t="shared" si="41"/>
        <x:v>398.13077379945025</x:v>
      </x:c>
      <x:c r="M64" s="16">
        <x:f t="shared" si="41"/>
        <x:v>510.7822025827063</x:v>
      </x:c>
      <x:c r="N64" s="16">
        <x:f t="shared" si="41"/>
        <x:v>272.23333836986603</x:v>
      </x:c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 ht="15.75" customHeight="1">
      <x:c r="A65" s="16"/>
      <x:c r="B65" s="35" t="s">
        <x:v>64</x:v>
      </x:c>
      <x:c r="C65" s="48"/>
      <x:c r="D65" s="49"/>
      <x:c r="E65" s="35" t="n">
        <x:f t="shared" ref="E65:N65" si="42">E62+E63-E64</x:f>
        <x:v>12971.179199999999</x:v>
      </x:c>
      <x:c r="F65" s="35">
        <x:f t="shared" si="42"/>
        <x:v>28238.733497877969</x:v>
      </x:c>
      <x:c r="G65" s="35">
        <x:f t="shared" si="42"/>
        <x:v>37505.343885131326</x:v>
      </x:c>
      <x:c r="H65" s="35">
        <x:f t="shared" si="42"/>
        <x:v>42354.07902359531</x:v>
      </x:c>
      <x:c r="I65" s="35">
        <x:f t="shared" si="42"/>
        <x:v>43480.18475858029</x:v>
      </x:c>
      <x:c r="J65" s="35">
        <x:f t="shared" si="42"/>
        <x:v>49789.295096986309</x:v>
      </x:c>
      <x:c r="K65" s="35">
        <x:f t="shared" si="42"/>
        <x:v>52783.242907364373</x:v>
      </x:c>
      <x:c r="L65" s="35">
        <x:f t="shared" si="42"/>
        <x:v>56676.261167064542</x:v>
      </x:c>
      <x:c r="M65" s="35">
        <x:f t="shared" si="42"/>
        <x:v>61114.124256051524</x:v>
      </x:c>
      <x:c r="N65" s="35">
        <x:f t="shared" si="42"/>
        <x:v>64261.156482847036</x:v>
      </x:c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 ht="15.75" customHeight="1">
      <x:c r="A66" s="16"/>
      <x:c r="B66" s="25"/>
      <x:c r="C66" s="16"/>
      <x:c r="D66" s="22"/>
      <x:c r="E66" s="33"/>
      <x:c r="F66" s="33"/>
      <x:c r="G66" s="33"/>
      <x:c r="H66" s="33"/>
      <x:c r="I66" s="33"/>
      <x:c r="J66" s="25"/>
      <x:c r="K66" s="25"/>
      <x:c r="L66" s="25"/>
      <x:c r="M66" s="25"/>
      <x:c r="N66" s="25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 ht="15.75" customHeight="1">
      <x:c r="A67" s="16"/>
      <x:c r="B67" s="25" t="s">
        <x:v>65</x:v>
      </x:c>
      <x:c r="C67" s="16"/>
      <x:c r="D67" s="22"/>
      <x:c r="E67" s="29"/>
      <x:c r="F67" s="29"/>
      <x:c r="G67" s="29"/>
      <x:c r="H67" s="29"/>
      <x:c r="I67" s="29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 ht="15.75" customHeight="1">
      <x:c r="A68" s="16"/>
      <x:c r="B68" s="16" t="s">
        <x:v>66</x:v>
      </x:c>
      <x:c r="C68" s="16"/>
      <x:c r="D68" s="22"/>
      <x:c r="E68" s="29">
        <x:v>15000</x:v>
      </x:c>
      <x:c r="F68" s="29">
        <x:v>15000</x:v>
      </x:c>
      <x:c r="G68" s="29">
        <x:v>15000</x:v>
      </x:c>
      <x:c r="H68" s="29">
        <x:v>15000</x:v>
      </x:c>
      <x:c r="I68" s="29">
        <x:v>15000</x:v>
      </x:c>
      <x:c r="J68" s="16" t="n">
        <x:f t="shared" ref="J68:N68" si="43">J18</x:f>
        <x:v>15000</x:v>
      </x:c>
      <x:c r="K68" s="16">
        <x:f t="shared" si="43"/>
        <x:v>10000</x:v>
      </x:c>
      <x:c r="L68" s="16">
        <x:f t="shared" si="43"/>
        <x:v>25000</x:v>
      </x:c>
      <x:c r="M68" s="16">
        <x:f t="shared" si="43"/>
        <x:v>10000</x:v>
      </x:c>
      <x:c r="N68" s="16">
        <x:f t="shared" si="43"/>
        <x:v>15000</x:v>
      </x:c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 ht="15.75" customHeight="1">
      <x:c r="A69" s="16"/>
      <x:c r="B69" s="35" t="s">
        <x:v>67</x:v>
      </x:c>
      <x:c r="C69" s="48"/>
      <x:c r="D69" s="49"/>
      <x:c r="E69" s="35" t="n">
        <x:f t="shared" ref="E69:N69" si="44">SUM(E68)</x:f>
        <x:v>15000</x:v>
      </x:c>
      <x:c r="F69" s="35">
        <x:f t="shared" si="44"/>
        <x:v>15000</x:v>
      </x:c>
      <x:c r="G69" s="35">
        <x:f t="shared" si="44"/>
        <x:v>15000</x:v>
      </x:c>
      <x:c r="H69" s="35">
        <x:f t="shared" si="44"/>
        <x:v>15000</x:v>
      </x:c>
      <x:c r="I69" s="35">
        <x:f t="shared" si="44"/>
        <x:v>15000</x:v>
      </x:c>
      <x:c r="J69" s="35">
        <x:f t="shared" si="44"/>
        <x:v>15000</x:v>
      </x:c>
      <x:c r="K69" s="35">
        <x:f t="shared" si="44"/>
        <x:v>10000</x:v>
      </x:c>
      <x:c r="L69" s="35">
        <x:f t="shared" si="44"/>
        <x:v>25000</x:v>
      </x:c>
      <x:c r="M69" s="35">
        <x:f t="shared" si="44"/>
        <x:v>10000</x:v>
      </x:c>
      <x:c r="N69" s="35">
        <x:f t="shared" si="44"/>
        <x:v>15000</x:v>
      </x:c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 ht="15.75" customHeight="1">
      <x:c r="A70" s="16"/>
      <x:c r="B70" s="25"/>
      <x:c r="C70" s="16"/>
      <x:c r="D70" s="22"/>
      <x:c r="E70" s="33"/>
      <x:c r="F70" s="33"/>
      <x:c r="G70" s="33"/>
      <x:c r="H70" s="33"/>
      <x:c r="I70" s="33"/>
      <x:c r="J70" s="25"/>
      <x:c r="K70" s="25"/>
      <x:c r="L70" s="25"/>
      <x:c r="M70" s="25"/>
      <x:c r="N70" s="25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 ht="15.75" customHeight="1">
      <x:c r="A71" s="16"/>
      <x:c r="B71" s="25" t="s">
        <x:v>68</x:v>
      </x:c>
      <x:c r="C71" s="16"/>
      <x:c r="D71" s="22"/>
      <x:c r="E71" s="29"/>
      <x:c r="F71" s="29"/>
      <x:c r="G71" s="29"/>
      <x:c r="H71" s="29"/>
      <x:c r="I71" s="29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 ht="15.75" customHeight="1">
      <x:c r="A72" s="16"/>
      <x:c r="B72" s="16" t="s">
        <x:v>69</x:v>
      </x:c>
      <x:c r="C72" s="16"/>
      <x:c r="D72" s="22"/>
      <x:c r="E72" s="29">
        <x:v>0</x:v>
      </x:c>
      <x:c r="F72" s="29">
        <x:v>0</x:v>
      </x:c>
      <x:c r="G72" s="29">
        <x:v>-20000</x:v>
      </x:c>
      <x:c r="H72" s="29">
        <x:v>0</x:v>
      </x:c>
      <x:c r="I72" s="29">
        <x:v>0</x:v>
      </x:c>
      <x:c r="J72" s="16" t="n">
        <x:f t="shared" ref="J72:N72" si="45">J19</x:f>
        <x:v>0</x:v>
      </x:c>
      <x:c r="K72" s="16">
        <x:f t="shared" si="45"/>
        <x:v>0</x:v>
      </x:c>
      <x:c r="L72" s="16">
        <x:f t="shared" si="45"/>
        <x:v>-20000</x:v>
      </x:c>
      <x:c r="M72" s="16">
        <x:f t="shared" si="45"/>
        <x:v>0</x:v>
      </x:c>
      <x:c r="N72" s="16">
        <x:f t="shared" si="45"/>
        <x:v>0</x:v>
      </x:c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 ht="15.75" customHeight="1">
      <x:c r="A73" s="16"/>
      <x:c r="B73" s="16" t="s">
        <x:v>70</x:v>
      </x:c>
      <x:c r="C73" s="16"/>
      <x:c r="D73" s="22"/>
      <x:c r="E73" s="29">
        <x:v>170000</x:v>
      </x:c>
      <x:c r="F73" s="29">
        <x:v>0</x:v>
      </x:c>
      <x:c r="G73" s="29">
        <x:v>0</x:v>
      </x:c>
      <x:c r="H73" s="29">
        <x:v>0</x:v>
      </x:c>
      <x:c r="I73" s="29">
        <x:v>0</x:v>
      </x:c>
      <x:c r="J73" s="16" t="n">
        <x:f t="shared" ref="J73:N73" si="46">J20</x:f>
        <x:v>0</x:v>
      </x:c>
      <x:c r="K73" s="16">
        <x:f t="shared" si="46"/>
        <x:v>0</x:v>
      </x:c>
      <x:c r="L73" s="16">
        <x:f t="shared" si="46"/>
        <x:v>0</x:v>
      </x:c>
      <x:c r="M73" s="16">
        <x:f t="shared" si="46"/>
        <x:v>-150000</x:v>
      </x:c>
      <x:c r="N73" s="16">
        <x:f t="shared" si="46"/>
        <x:v>0</x:v>
      </x:c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 ht="15.75" customHeight="1">
      <x:c r="A74" s="16"/>
      <x:c r="B74" s="35" t="s">
        <x:v>71</x:v>
      </x:c>
      <x:c r="C74" s="48"/>
      <x:c r="D74" s="49"/>
      <x:c r="E74" s="35" t="n">
        <x:f t="shared" ref="E74:N74" si="47">SUM(E72:E73)</x:f>
        <x:v>170000</x:v>
      </x:c>
      <x:c r="F74" s="35">
        <x:f t="shared" si="47"/>
        <x:v>0</x:v>
      </x:c>
      <x:c r="G74" s="35">
        <x:f t="shared" si="47"/>
        <x:v>-20000</x:v>
      </x:c>
      <x:c r="H74" s="35">
        <x:f t="shared" si="47"/>
        <x:v>0</x:v>
      </x:c>
      <x:c r="I74" s="35">
        <x:f t="shared" si="47"/>
        <x:v>0</x:v>
      </x:c>
      <x:c r="J74" s="35">
        <x:f t="shared" si="47"/>
        <x:v>0</x:v>
      </x:c>
      <x:c r="K74" s="35">
        <x:f t="shared" si="47"/>
        <x:v>0</x:v>
      </x:c>
      <x:c r="L74" s="35">
        <x:f t="shared" si="47"/>
        <x:v>-20000</x:v>
      </x:c>
      <x:c r="M74" s="35">
        <x:f t="shared" si="47"/>
        <x:v>-150000</x:v>
      </x:c>
      <x:c r="N74" s="35">
        <x:f t="shared" si="47"/>
        <x:v>0</x:v>
      </x:c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 ht="15.75" customHeight="1">
      <x:c r="A75" s="16"/>
      <x:c r="B75" s="25"/>
      <x:c r="C75" s="16"/>
      <x:c r="D75" s="22"/>
      <x:c r="E75" s="33"/>
      <x:c r="F75" s="33"/>
      <x:c r="G75" s="33"/>
      <x:c r="H75" s="33"/>
      <x:c r="I75" s="33"/>
      <x:c r="J75" s="25"/>
      <x:c r="K75" s="25"/>
      <x:c r="L75" s="25"/>
      <x:c r="M75" s="25"/>
      <x:c r="N75" s="25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 ht="15.75" customHeight="1">
      <x:c r="A76" s="16"/>
      <x:c r="B76" s="16" t="s">
        <x:v>72</x:v>
      </x:c>
      <x:c r="C76" s="16"/>
      <x:c r="D76" s="22"/>
      <x:c r="E76" s="16" t="n">
        <x:f t="shared" ref="E76:N76" si="48">E65-E69+E74</x:f>
        <x:v>167971.1792</x:v>
      </x:c>
      <x:c r="F76" s="16">
        <x:f t="shared" si="48"/>
        <x:v>13238.733497877969</x:v>
      </x:c>
      <x:c r="G76" s="16">
        <x:f t="shared" si="48"/>
        <x:v>2505.3438851313258</x:v>
      </x:c>
      <x:c r="H76" s="16">
        <x:f t="shared" si="48"/>
        <x:v>27354.07902359531</x:v>
      </x:c>
      <x:c r="I76" s="16">
        <x:f t="shared" si="48"/>
        <x:v>28480.18475858029</x:v>
      </x:c>
      <x:c r="J76" s="16">
        <x:f t="shared" si="48"/>
        <x:v>34789.295096986309</x:v>
      </x:c>
      <x:c r="K76" s="16">
        <x:f t="shared" si="48"/>
        <x:v>42783.242907364373</x:v>
      </x:c>
      <x:c r="L76" s="16">
        <x:f t="shared" si="48"/>
        <x:v>11676.261167064542</x:v>
      </x:c>
      <x:c r="M76" s="16">
        <x:f t="shared" si="48"/>
        <x:v>-98885.875743948476</x:v>
      </x:c>
      <x:c r="N76" s="16">
        <x:f t="shared" si="48"/>
        <x:v>49261.156482847036</x:v>
      </x:c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 ht="15.75" customHeight="1">
      <x:c r="A77" s="16"/>
      <x:c r="B77" s="16" t="s">
        <x:v>73</x:v>
      </x:c>
      <x:c r="C77" s="16"/>
      <x:c r="D77" s="22"/>
      <x:c r="E77" s="16" t="n">
        <x:f>D78</x:f>
        <x:v>0</x:v>
      </x:c>
      <x:c r="F77" s="29">
        <x:v>167971.17920000001</x:v>
      </x:c>
      <x:c r="G77" s="29">
        <x:v>181209.91269787797</x:v>
      </x:c>
      <x:c r="H77" s="29">
        <x:v>183715.25658300929</x:v>
      </x:c>
      <x:c r="I77" s="29">
        <x:v>211069.33560660461</x:v>
      </x:c>
      <x:c r="J77" s="16" t="n">
        <x:f t="shared" ref="J77:N77" si="49">+I78</x:f>
        <x:v>239549.5203651849</x:v>
      </x:c>
      <x:c r="K77" s="16">
        <x:f t="shared" si="49"/>
        <x:v>274338.81546217122</x:v>
      </x:c>
      <x:c r="L77" s="16">
        <x:f t="shared" si="49"/>
        <x:v>317122.0583695356</x:v>
      </x:c>
      <x:c r="M77" s="16">
        <x:f t="shared" si="49"/>
        <x:v>328798.31953660015</x:v>
      </x:c>
      <x:c r="N77" s="16">
        <x:f t="shared" si="49"/>
        <x:v>229912.44379265167</x:v>
      </x:c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 ht="15.75" customHeight="1">
      <x:c r="A78" s="16"/>
      <x:c r="B78" s="35" t="s">
        <x:v>74</x:v>
      </x:c>
      <x:c r="C78" s="48"/>
      <x:c r="D78" s="49"/>
      <x:c r="E78" s="35" t="n">
        <x:f t="shared" ref="E78:N78" si="50">SUM(E76:E77)</x:f>
        <x:v>167971.1792</x:v>
      </x:c>
      <x:c r="F78" s="35">
        <x:f t="shared" si="50"/>
        <x:v>181209.91269787797</x:v>
      </x:c>
      <x:c r="G78" s="35">
        <x:f t="shared" si="50"/>
        <x:v>183715.25658300929</x:v>
      </x:c>
      <x:c r="H78" s="35">
        <x:f t="shared" si="50"/>
        <x:v>211069.33560660461</x:v>
      </x:c>
      <x:c r="I78" s="35">
        <x:f t="shared" si="50"/>
        <x:v>239549.5203651849</x:v>
      </x:c>
      <x:c r="J78" s="35">
        <x:f t="shared" si="50"/>
        <x:v>274338.81546217122</x:v>
      </x:c>
      <x:c r="K78" s="35">
        <x:f t="shared" si="50"/>
        <x:v>317122.0583695356</x:v>
      </x:c>
      <x:c r="L78" s="35">
        <x:f t="shared" si="50"/>
        <x:v>328798.31953660015</x:v>
      </x:c>
      <x:c r="M78" s="35">
        <x:f t="shared" si="50"/>
        <x:v>229912.44379265167</x:v>
      </x:c>
      <x:c r="N78" s="35">
        <x:f t="shared" si="50"/>
        <x:v>279173.6002754987</x:v>
      </x:c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 ht="15.75" customHeight="1">
      <x:c r="A79" s="16"/>
      <x:c r="B79" s="25"/>
      <x:c r="C79" s="16"/>
      <x:c r="D79" s="22"/>
      <x:c r="E79" s="33"/>
      <x:c r="F79" s="29"/>
      <x:c r="G79" s="29"/>
      <x:c r="H79" s="29"/>
      <x:c r="I79" s="29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 ht="15.75" customHeight="1">
      <x:c r="A80" s="16"/>
      <x:c r="B80" s="30" t="s">
        <x:v>59</x:v>
      </x:c>
      <x:c r="C80" s="45"/>
      <x:c r="D80" s="46"/>
      <x:c r="E80" s="47" t="n">
        <x:f t="shared" ref="E80:N80" si="51">E78-E41</x:f>
        <x:v>0</x:v>
      </x:c>
      <x:c r="F80" s="47">
        <x:f t="shared" si="51"/>
        <x:v>0</x:v>
      </x:c>
      <x:c r="G80" s="47">
        <x:f t="shared" si="51"/>
        <x:v>0</x:v>
      </x:c>
      <x:c r="H80" s="47">
        <x:f t="shared" si="51"/>
        <x:v>0</x:v>
      </x:c>
      <x:c r="I80" s="47">
        <x:f t="shared" si="51"/>
        <x:v>0</x:v>
      </x:c>
      <x:c r="J80" s="47">
        <x:f t="shared" si="51"/>
        <x:v>0</x:v>
      </x:c>
      <x:c r="K80" s="47">
        <x:f t="shared" si="51"/>
        <x:v>0</x:v>
      </x:c>
      <x:c r="L80" s="47">
        <x:f t="shared" si="51"/>
        <x:v>0</x:v>
      </x:c>
      <x:c r="M80" s="47">
        <x:f t="shared" si="51"/>
        <x:v>0</x:v>
      </x:c>
      <x:c r="N80" s="47">
        <x:f t="shared" si="51"/>
        <x:v>0</x:v>
      </x:c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 ht="15.75" customHeight="1">
      <x:c r="A81" s="16"/>
      <x:c r="B81" s="25"/>
      <x:c r="C81" s="16"/>
      <x:c r="D81" s="22"/>
      <x:c r="E81" s="33"/>
      <x:c r="F81" s="29"/>
      <x:c r="G81" s="29"/>
      <x:c r="H81" s="29"/>
      <x:c r="I81" s="29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 ht="15.75" customHeight="1">
      <x:c r="A82" s="16"/>
      <x:c r="B82" s="16"/>
      <x:c r="C82" s="16"/>
      <x:c r="D82" s="22"/>
      <x:c r="E82" s="29"/>
      <x:c r="F82" s="29"/>
      <x:c r="G82" s="29"/>
      <x:c r="H82" s="29"/>
      <x:c r="I82" s="29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 ht="15.75" customHeight="1">
      <x:c r="A83" s="16"/>
      <x:c r="B83" s="24" t="s">
        <x:v>75</x:v>
      </x:c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 ht="15.75" customHeight="1">
      <x:c r="A84" s="16"/>
      <x:c r="B84" s="25" t="s">
        <x:v>76</x:v>
      </x:c>
      <x:c r="C84" s="16"/>
      <x:c r="D84" s="22"/>
      <x:c r="E84" s="16"/>
      <x:c r="F84" s="29"/>
      <x:c r="G84" s="29"/>
      <x:c r="H84" s="29"/>
      <x:c r="I84" s="29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 ht="15.75" customHeight="1">
      <x:c r="A85" s="16"/>
      <x:c r="B85" s="16" t="s">
        <x:v>47</x:v>
      </x:c>
      <x:c r="C85" s="16"/>
      <x:c r="D85" s="22"/>
      <x:c r="E85" s="29">
        <x:v>5100.3500000000004</x:v>
      </x:c>
      <x:c r="F85" s="29">
        <x:v>5904.3</x:v>
      </x:c>
      <x:c r="G85" s="29">
        <x:v>6567.25</x:v>
      </x:c>
      <x:c r="H85" s="29">
        <x:v>7117.05</x:v>
      </x:c>
      <x:c r="I85" s="29">
        <x:v>7538.6</x:v>
      </x:c>
      <x:c r="J85" s="16" t="n">
        <x:f t="shared" ref="J85:N85" si="52">J42</x:f>
        <x:v>7807.098082191782</x:v>
      </x:c>
      <x:c r="K85" s="16">
        <x:f t="shared" si="52"/>
        <x:v>8158.4174958904105</x:v>
      </x:c>
      <x:c r="L85" s="16">
        <x:f t="shared" si="52"/>
        <x:v>8484.7541957260273</x:v>
      </x:c>
      <x:c r="M85" s="16">
        <x:f t="shared" si="52"/>
        <x:v>8781.7205925764374</x:v>
      </x:c>
      <x:c r="N85" s="16">
        <x:f t="shared" si="52"/>
        <x:v>9045.1722103537304</x:v>
      </x:c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 ht="15.75" customHeight="1">
      <x:c r="A86" s="16"/>
      <x:c r="B86" s="16" t="s">
        <x:v>48</x:v>
      </x:c>
      <x:c r="C86" s="16"/>
      <x:c r="D86" s="22"/>
      <x:c r="E86" s="29">
        <x:v>7804.6</x:v>
      </x:c>
      <x:c r="F86" s="29">
        <x:v>9600.8000000000011</x:v>
      </x:c>
      <x:c r="G86" s="29">
        <x:v>9824.6</x:v>
      </x:c>
      <x:c r="H86" s="29">
        <x:v>10530.800000000001</x:v>
      </x:c>
      <x:c r="I86" s="29">
        <x:v>11342</x:v>
      </x:c>
      <x:c r="J86" s="16" t="n">
        <x:f t="shared" ref="J86:N86" si="53">J43</x:f>
        <x:v>11714.9844</x:v>
      </x:c>
      <x:c r="K86" s="16">
        <x:f t="shared" si="53"/>
        <x:v>12242.158697999999</x:v>
      </x:c>
      <x:c r="L86" s="16">
        <x:f t="shared" si="53"/>
        <x:v>12387.741125759998</x:v>
      </x:c>
      <x:c r="M86" s="16">
        <x:f t="shared" si="53"/>
        <x:v>12821.312065161599</x:v>
      </x:c>
      <x:c r="N86" s="16">
        <x:f t="shared" si="53"/>
        <x:v>12839.119443029876</x:v>
      </x:c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 ht="15.75" customHeight="1">
      <x:c r="A87" s="16"/>
      <x:c r="B87" s="16" t="s">
        <x:v>52</x:v>
      </x:c>
      <x:c r="C87" s="16"/>
      <x:c r="D87" s="22"/>
      <x:c r="E87" s="29">
        <x:v>3902.3</x:v>
      </x:c>
      <x:c r="F87" s="29">
        <x:v>4800.4000000000005</x:v>
      </x:c>
      <x:c r="G87" s="29">
        <x:v>4912.3</x:v>
      </x:c>
      <x:c r="H87" s="29">
        <x:v>5265.4000000000005</x:v>
      </x:c>
      <x:c r="I87" s="29">
        <x:v>5671</x:v>
      </x:c>
      <x:c r="J87" s="16" t="n">
        <x:f t="shared" ref="J87:N87" si="54">J48</x:f>
        <x:v>5937.731819178082</x:v>
      </x:c>
      <x:c r="K87" s="16">
        <x:f t="shared" si="54"/>
        <x:v>6204.9297510410952</x:v>
      </x:c>
      <x:c r="L87" s="16">
        <x:f t="shared" si="54"/>
        <x:v>6278.7181048372595</x:v>
      </x:c>
      <x:c r="M87" s="16">
        <x:f t="shared" si="54"/>
        <x:v>6498.4732385065636</x:v>
      </x:c>
      <x:c r="N87" s="16">
        <x:f t="shared" si="54"/>
        <x:v>6507.498895782267</x:v>
      </x:c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 ht="15.75" customHeight="1">
      <x:c r="A88" s="16"/>
      <x:c r="B88" s="48" t="s">
        <x:v>77</x:v>
      </x:c>
      <x:c r="C88" s="48"/>
      <x:c r="D88" s="49"/>
      <x:c r="E88" s="48" t="n">
        <x:f t="shared" ref="E88:N88" si="55">E85+E86-E87</x:f>
        <x:v>9002.650000000001</x:v>
      </x:c>
      <x:c r="F88" s="48">
        <x:f t="shared" si="55"/>
        <x:v>10704.7</x:v>
      </x:c>
      <x:c r="G88" s="48">
        <x:f t="shared" si="55"/>
        <x:v>11479.55</x:v>
      </x:c>
      <x:c r="H88" s="48">
        <x:f t="shared" si="55"/>
        <x:v>12382.45</x:v>
      </x:c>
      <x:c r="I88" s="48">
        <x:f t="shared" si="55"/>
        <x:v>13209.599999999999</x:v>
      </x:c>
      <x:c r="J88" s="48">
        <x:f t="shared" si="55"/>
        <x:v>13584.350663013698</x:v>
      </x:c>
      <x:c r="K88" s="48">
        <x:f t="shared" si="55"/>
        <x:v>14195.646442849316</x:v>
      </x:c>
      <x:c r="L88" s="48">
        <x:f t="shared" si="55"/>
        <x:v>14593.777216648767</x:v>
      </x:c>
      <x:c r="M88" s="48">
        <x:f t="shared" si="55"/>
        <x:v>15104.559419231473</x:v>
      </x:c>
      <x:c r="N88" s="48">
        <x:f t="shared" si="55"/>
        <x:v>15376.792757601339</x:v>
      </x:c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 ht="15.75" customHeight="1">
      <x:c r="A89" s="16"/>
      <x:c r="B89" s="16" t="s">
        <x:v>78</x:v>
      </x:c>
      <x:c r="C89" s="16"/>
      <x:c r="D89" s="22"/>
      <x:c r="E89" s="16" t="n">
        <x:f t="shared" ref="E89:N89" si="56">E88-D88</x:f>
        <x:v>9002.650000000001</x:v>
      </x:c>
      <x:c r="F89" s="16">
        <x:f t="shared" si="56"/>
        <x:v>1702.0499999999993</x:v>
      </x:c>
      <x:c r="G89" s="16">
        <x:f t="shared" si="56"/>
        <x:v>774.84999999999854</x:v>
      </x:c>
      <x:c r="H89" s="16">
        <x:f t="shared" si="56"/>
        <x:v>902.90000000000146</x:v>
      </x:c>
      <x:c r="I89" s="16">
        <x:f t="shared" si="56"/>
        <x:v>827.14999999999782</x:v>
      </x:c>
      <x:c r="J89" s="16">
        <x:f t="shared" si="56"/>
        <x:v>374.75066301369952</x:v>
      </x:c>
      <x:c r="K89" s="16">
        <x:f t="shared" si="56"/>
        <x:v>611.2957798356183</x:v>
      </x:c>
      <x:c r="L89" s="16">
        <x:f t="shared" si="56"/>
        <x:v>398.13077379945025</x:v>
      </x:c>
      <x:c r="M89" s="16">
        <x:f t="shared" si="56"/>
        <x:v>510.7822025827063</x:v>
      </x:c>
      <x:c r="N89" s="16">
        <x:f t="shared" si="56"/>
        <x:v>272.23333836986603</x:v>
      </x:c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 ht="15.75" customHeight="1">
      <x:c r="A90" s="16"/>
      <x:c r="B90" s="16"/>
      <x:c r="C90" s="16"/>
      <x:c r="D90" s="22"/>
      <x:c r="E90" s="29"/>
      <x:c r="F90" s="29"/>
      <x:c r="G90" s="29"/>
      <x:c r="H90" s="29"/>
      <x:c r="I90" s="29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 ht="15.75" customHeight="1">
      <x:c r="A91" s="16"/>
      <x:c r="B91" s="25" t="s">
        <x:v>79</x:v>
      </x:c>
      <x:c r="C91" s="16"/>
      <x:c r="D91" s="22"/>
      <x:c r="E91" s="29"/>
      <x:c r="F91" s="29"/>
      <x:c r="G91" s="29"/>
      <x:c r="H91" s="29"/>
      <x:c r="I91" s="29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 ht="15.75" customHeight="1">
      <x:c r="A92" s="16"/>
      <x:c r="B92" s="16" t="s">
        <x:v>80</x:v>
      </x:c>
      <x:c r="C92" s="16"/>
      <x:c r="D92" s="22"/>
      <x:c r="E92" s="29">
        <x:v>50000</x:v>
      </x:c>
      <x:c r="F92" s="29">
        <x:v>45500</x:v>
      </x:c>
      <x:c r="G92" s="29">
        <x:v>42350</x:v>
      </x:c>
      <x:c r="H92" s="29">
        <x:v>40145</x:v>
      </x:c>
      <x:c r="I92" s="29">
        <x:v>38601.5</x:v>
      </x:c>
      <x:c r="J92" s="16" t="n">
        <x:f t="shared" ref="J92:N92" si="57">I95</x:f>
        <x:v>37521.05</x:v>
      </x:c>
      <x:c r="K92" s="16">
        <x:f t="shared" si="57"/>
        <x:v>37512.630000000005</x:v>
      </x:c>
      <x:c r="L92" s="16">
        <x:f t="shared" si="57"/>
        <x:v>32507.578000000001</x:v>
      </x:c>
      <x:c r="M92" s="16">
        <x:f t="shared" si="57"/>
        <x:v>44504.546799999996</x:v>
      </x:c>
      <x:c r="N92" s="16">
        <x:f t="shared" si="57"/>
        <x:v>36702.728080000001</x:v>
      </x:c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 ht="15.75" customHeight="1">
      <x:c r="A93" s="16"/>
      <x:c r="B93" s="16" t="s">
        <x:v>81</x:v>
      </x:c>
      <x:c r="C93" s="16"/>
      <x:c r="D93" s="22"/>
      <x:c r="E93" s="29">
        <x:v>15000</x:v>
      </x:c>
      <x:c r="F93" s="29">
        <x:v>15000</x:v>
      </x:c>
      <x:c r="G93" s="29">
        <x:v>15000</x:v>
      </x:c>
      <x:c r="H93" s="29">
        <x:v>15000</x:v>
      </x:c>
      <x:c r="I93" s="29">
        <x:v>15000</x:v>
      </x:c>
      <x:c r="J93" s="16" t="n">
        <x:f t="shared" ref="J93:N93" si="58">+J18</x:f>
        <x:v>15000</x:v>
      </x:c>
      <x:c r="K93" s="16">
        <x:f t="shared" si="58"/>
        <x:v>10000</x:v>
      </x:c>
      <x:c r="L93" s="16">
        <x:f t="shared" si="58"/>
        <x:v>25000</x:v>
      </x:c>
      <x:c r="M93" s="16">
        <x:f t="shared" si="58"/>
        <x:v>10000</x:v>
      </x:c>
      <x:c r="N93" s="16">
        <x:f t="shared" si="58"/>
        <x:v>15000</x:v>
      </x:c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 ht="15.75" customHeight="1">
      <x:c r="A94" s="16"/>
      <x:c r="B94" s="16" t="s">
        <x:v>82</x:v>
      </x:c>
      <x:c r="C94" s="16"/>
      <x:c r="E94" s="29">
        <x:v>19500</x:v>
      </x:c>
      <x:c r="F94" s="29">
        <x:v>18150</x:v>
      </x:c>
      <x:c r="G94" s="29">
        <x:v>17205</x:v>
      </x:c>
      <x:c r="H94" s="29">
        <x:v>16543.5</x:v>
      </x:c>
      <x:c r="I94" s="29">
        <x:v>16080.449999999999</x:v>
      </x:c>
      <x:c r="J94" s="34" t="n">
        <x:f t="shared" ref="J94:N94" si="59">J92*J11</x:f>
        <x:v>15008.420000000002</x:v>
      </x:c>
      <x:c r="K94" s="34">
        <x:f t="shared" si="59"/>
        <x:v>15005.052000000003</x:v>
      </x:c>
      <x:c r="L94" s="34">
        <x:f t="shared" si="59"/>
        <x:v>13003.031200000001</x:v>
      </x:c>
      <x:c r="M94" s="34">
        <x:f t="shared" si="59"/>
        <x:v>17801.818719999999</x:v>
      </x:c>
      <x:c r="N94" s="34">
        <x:f t="shared" si="59"/>
        <x:v>14681.091232000001</x:v>
      </x:c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 ht="15.75" customHeight="1">
      <x:c r="A95" s="16"/>
      <x:c r="B95" s="48" t="s">
        <x:v>83</x:v>
      </x:c>
      <x:c r="C95" s="48"/>
      <x:c r="D95" s="49"/>
      <x:c r="E95" s="48" t="n">
        <x:f t="shared" ref="E95:N95" si="60">E92+E93-E94</x:f>
        <x:v>45500</x:v>
      </x:c>
      <x:c r="F95" s="48">
        <x:f t="shared" si="60"/>
        <x:v>42350</x:v>
      </x:c>
      <x:c r="G95" s="48">
        <x:f t="shared" si="60"/>
        <x:v>40145</x:v>
      </x:c>
      <x:c r="H95" s="48">
        <x:f t="shared" si="60"/>
        <x:v>38601.5</x:v>
      </x:c>
      <x:c r="I95" s="48">
        <x:f t="shared" si="60"/>
        <x:v>37521.050000000003</x:v>
      </x:c>
      <x:c r="J95" s="48">
        <x:f t="shared" si="60"/>
        <x:v>37512.630000000005</x:v>
      </x:c>
      <x:c r="K95" s="48">
        <x:f t="shared" si="60"/>
        <x:v>32507.578000000001</x:v>
      </x:c>
      <x:c r="L95" s="48">
        <x:f t="shared" si="60"/>
        <x:v>44504.546799999996</x:v>
      </x:c>
      <x:c r="M95" s="48">
        <x:f t="shared" si="60"/>
        <x:v>36702.728080000001</x:v>
      </x:c>
      <x:c r="N95" s="48">
        <x:f t="shared" si="60"/>
        <x:v>37021.636848000002</x:v>
      </x:c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 ht="15.75" customHeight="1">
      <x:c r="A96" s="16"/>
      <x:c r="B96" s="16"/>
      <x:c r="C96" s="16"/>
      <x:c r="D96" s="22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 ht="15.75" customHeight="1">
      <x:c r="A97" s="16"/>
      <x:c r="B97" s="25" t="s">
        <x:v>84</x:v>
      </x:c>
      <x:c r="C97" s="16"/>
      <x:c r="D97" s="22"/>
      <x:c r="E97" s="29"/>
      <x:c r="F97" s="29"/>
      <x:c r="G97" s="29"/>
      <x:c r="H97" s="29"/>
      <x:c r="I97" s="29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 ht="15.75" customHeight="1">
      <x:c r="A98" s="16"/>
      <x:c r="B98" s="16" t="s">
        <x:v>85</x:v>
      </x:c>
      <x:c r="C98" s="16"/>
      <x:c r="D98" s="22"/>
      <x:c r="E98" s="29">
        <x:v>50000</x:v>
      </x:c>
      <x:c r="F98" s="29">
        <x:v>50000</x:v>
      </x:c>
      <x:c r="G98" s="29">
        <x:v>50000</x:v>
      </x:c>
      <x:c r="H98" s="29">
        <x:v>30000</x:v>
      </x:c>
      <x:c r="I98" s="29">
        <x:v>30000</x:v>
      </x:c>
      <x:c r="J98" s="16" t="n">
        <x:f t="shared" ref="J98:N98" si="61">I100</x:f>
        <x:v>30000</x:v>
      </x:c>
      <x:c r="K98" s="16">
        <x:f t="shared" si="61"/>
        <x:v>30000</x:v>
      </x:c>
      <x:c r="L98" s="16">
        <x:f t="shared" si="61"/>
        <x:v>30000</x:v>
      </x:c>
      <x:c r="M98" s="16">
        <x:f t="shared" si="61"/>
        <x:v>10000</x:v>
      </x:c>
      <x:c r="N98" s="16">
        <x:f t="shared" si="61"/>
        <x:v>10000</x:v>
      </x:c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 ht="15.75" customHeight="1">
      <x:c r="A99" s="16"/>
      <x:c r="B99" s="16" t="s">
        <x:v>86</x:v>
      </x:c>
      <x:c r="C99" s="16"/>
      <x:c r="D99" s="22"/>
      <x:c r="E99" s="29">
        <x:v>0</x:v>
      </x:c>
      <x:c r="F99" s="29">
        <x:v>0</x:v>
      </x:c>
      <x:c r="G99" s="29">
        <x:v>-20000</x:v>
      </x:c>
      <x:c r="H99" s="29">
        <x:v>0</x:v>
      </x:c>
      <x:c r="I99" s="29">
        <x:v>0</x:v>
      </x:c>
      <x:c r="J99" s="16" t="n">
        <x:f t="shared" ref="J99:N99" si="62">+J19</x:f>
        <x:v>0</x:v>
      </x:c>
      <x:c r="K99" s="16">
        <x:f t="shared" si="62"/>
        <x:v>0</x:v>
      </x:c>
      <x:c r="L99" s="16">
        <x:f t="shared" si="62"/>
        <x:v>-20000</x:v>
      </x:c>
      <x:c r="M99" s="16">
        <x:f t="shared" si="62"/>
        <x:v>0</x:v>
      </x:c>
      <x:c r="N99" s="16">
        <x:f t="shared" si="62"/>
        <x:v>0</x:v>
      </x:c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 ht="15.75" customHeight="1">
      <x:c r="A100" s="16"/>
      <x:c r="B100" s="48" t="s">
        <x:v>87</x:v>
      </x:c>
      <x:c r="C100" s="48"/>
      <x:c r="D100" s="49"/>
      <x:c r="E100" s="48" t="n">
        <x:f t="shared" ref="E100:N100" si="63">SUM(E98:E99)</x:f>
        <x:v>50000</x:v>
      </x:c>
      <x:c r="F100" s="48">
        <x:f t="shared" si="63"/>
        <x:v>50000</x:v>
      </x:c>
      <x:c r="G100" s="48">
        <x:f t="shared" si="63"/>
        <x:v>30000</x:v>
      </x:c>
      <x:c r="H100" s="48">
        <x:f t="shared" si="63"/>
        <x:v>30000</x:v>
      </x:c>
      <x:c r="I100" s="48">
        <x:f t="shared" si="63"/>
        <x:v>30000</x:v>
      </x:c>
      <x:c r="J100" s="48">
        <x:f t="shared" si="63"/>
        <x:v>30000</x:v>
      </x:c>
      <x:c r="K100" s="48">
        <x:f t="shared" si="63"/>
        <x:v>30000</x:v>
      </x:c>
      <x:c r="L100" s="48">
        <x:f t="shared" si="63"/>
        <x:v>10000</x:v>
      </x:c>
      <x:c r="M100" s="48">
        <x:f t="shared" si="63"/>
        <x:v>10000</x:v>
      </x:c>
      <x:c r="N100" s="48">
        <x:f t="shared" si="63"/>
        <x:v>10000</x:v>
      </x:c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 ht="15.75" customHeight="1">
      <x:c r="A101" s="16"/>
      <x:c r="B101" s="16" t="s">
        <x:v>88</x:v>
      </x:c>
      <x:c r="C101" s="16"/>
      <x:c r="E101" s="29">
        <x:v>2500</x:v>
      </x:c>
      <x:c r="F101" s="29">
        <x:v>2500</x:v>
      </x:c>
      <x:c r="G101" s="29">
        <x:v>1500</x:v>
      </x:c>
      <x:c r="H101" s="29">
        <x:v>900</x:v>
      </x:c>
      <x:c r="I101" s="29">
        <x:v>900</x:v>
      </x:c>
      <x:c r="J101" s="16" t="n">
        <x:f t="shared" ref="J101:N101" si="64">J98*J12</x:f>
        <x:v>900</x:v>
      </x:c>
      <x:c r="K101" s="16">
        <x:f t="shared" si="64"/>
        <x:v>900</x:v>
      </x:c>
      <x:c r="L101" s="16">
        <x:f t="shared" si="64"/>
        <x:v>900</x:v>
      </x:c>
      <x:c r="M101" s="16">
        <x:f t="shared" si="64"/>
        <x:v>300</x:v>
      </x:c>
      <x:c r="N101" s="16">
        <x:f t="shared" si="64"/>
        <x:v>300</x:v>
      </x:c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 ht="15.75" customHeight="1">
      <x:c r="A102" s="16"/>
      <x:c r="B102" s="16"/>
      <x:c r="C102" s="16"/>
      <x:c r="D102" s="22"/>
      <x:c r="E102" s="29"/>
      <x:c r="F102" s="29"/>
      <x:c r="G102" s="28"/>
      <x:c r="H102" s="29"/>
      <x:c r="I102" s="29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 ht="15.75" customHeight="1">
      <x:c r="A103" s="16"/>
      <x:c r="B103" s="16"/>
      <x:c r="C103" s="16"/>
      <x:c r="D103" s="22"/>
      <x:c r="E103" s="29"/>
      <x:c r="F103" s="29"/>
      <x:c r="G103" s="29"/>
      <x:c r="H103" s="29"/>
      <x:c r="I103" s="29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 ht="15.75" customHeight="1">
      <x:c r="A104" s="16"/>
      <x:c r="B104" s="16"/>
      <x:c r="C104" s="16"/>
      <x:c r="D104" s="22"/>
      <x:c r="E104" s="29"/>
      <x:c r="F104" s="29"/>
      <x:c r="G104" s="29"/>
      <x:c r="H104" s="29"/>
      <x:c r="I104" s="29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 ht="15.75" customHeight="1">
      <x:c r="A105" s="16"/>
      <x:c r="B105" s="24" t="s">
        <x:v>89</x:v>
      </x:c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 ht="15.75" customHeight="1">
      <x:c r="A106" s="16"/>
      <x:c r="B106" s="16"/>
      <x:c r="C106" s="16"/>
      <x:c r="D106" s="22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 ht="15.75" customHeight="1">
      <x:c r="A107" s="16"/>
      <x:c r="B107" s="16"/>
      <x:c r="C107" s="16"/>
      <x:c r="D107" s="22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 ht="15.75" customHeight="1">
      <x:c r="A108" s="16"/>
      <x:c r="B108" s="16"/>
      <x:c r="C108" s="16"/>
      <x:c r="D108" s="22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 ht="15.75" customHeight="1">
      <x:c r="A109" s="16"/>
      <x:c r="B109" s="16"/>
      <x:c r="C109" s="16"/>
      <x:c r="D109" s="22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 ht="15.75" customHeight="1">
      <x:c r="A110" s="16"/>
      <x:c r="B110" s="16"/>
      <x:c r="C110" s="16"/>
      <x:c r="D110" s="22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 ht="15.75" customHeight="1">
      <x:c r="A111" s="16"/>
      <x:c r="B111" s="16"/>
      <x:c r="C111" s="16"/>
      <x:c r="D111" s="22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 ht="15.75" customHeight="1">
      <x:c r="A112" s="16"/>
      <x:c r="B112" s="16"/>
      <x:c r="C112" s="16"/>
      <x:c r="D112" s="22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 ht="15.75" customHeight="1">
      <x:c r="A113" s="16"/>
      <x:c r="B113" s="16"/>
      <x:c r="C113" s="16"/>
      <x:c r="D113" s="22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 ht="15.75" customHeight="1">
      <x:c r="A114" s="16"/>
      <x:c r="B114" s="16"/>
      <x:c r="C114" s="16"/>
      <x:c r="D114" s="22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 ht="15.75" customHeight="1">
      <x:c r="A115" s="16"/>
      <x:c r="B115" s="16"/>
      <x:c r="C115" s="16"/>
      <x:c r="D115" s="22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 ht="15.75" customHeight="1">
      <x:c r="A116" s="16"/>
      <x:c r="B116" s="16"/>
      <x:c r="C116" s="16"/>
      <x:c r="D116" s="22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 ht="15.75" customHeight="1">
      <x:c r="A117" s="16"/>
      <x:c r="B117" s="16"/>
      <x:c r="C117" s="16"/>
      <x:c r="D117" s="22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 ht="15.75" customHeight="1">
      <x:c r="A118" s="16"/>
      <x:c r="B118" s="16"/>
      <x:c r="C118" s="50"/>
      <x:c r="D118" s="50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 ht="15.75" customHeight="1">
      <x:c r="A119" s="16"/>
      <x:c r="B119" s="50"/>
      <x:c r="C119" s="50"/>
      <x:c r="D119" s="50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 ht="15.75" customHeight="1">
      <x:c r="A120" s="16"/>
      <x:c r="B120" s="16"/>
      <x:c r="C120" s="16"/>
      <x:c r="D120" s="22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 ht="15.75" customHeight="1">
      <x:c r="A121" s="16"/>
      <x:c r="B121" s="16" t="s">
        <x:v>90</x:v>
      </x:c>
      <x:c r="C121" s="16"/>
      <x:c r="D121" s="22"/>
      <x:c r="E121" s="16" t="n">
        <x:f t="shared" ref="E121:I121" si="65">E24</x:f>
        <x:v>102007</x:v>
      </x:c>
      <x:c r="F121" s="16">
        <x:f t="shared" si="65"/>
        <x:v>118086</x:v>
      </x:c>
      <x:c r="G121" s="16">
        <x:f t="shared" si="65"/>
        <x:v>131345</x:v>
      </x:c>
      <x:c r="H121" s="16">
        <x:f t="shared" si="65"/>
        <x:v>142341</x:v>
      </x:c>
      <x:c r="I121" s="16">
        <x:f t="shared" si="65"/>
        <x:v>150772</x:v>
      </x:c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 ht="15.75" customHeight="1">
      <x:c r="A122" s="16"/>
      <x:c r="B122" s="16" t="s">
        <x:v>35</x:v>
      </x:c>
      <x:c r="C122" s="16"/>
      <x:c r="D122" s="22"/>
      <x:c r="E122" s="16" t="n">
        <x:f t="shared" ref="E122:I122" si="66">E26</x:f>
        <x:v>62984</x:v>
      </x:c>
      <x:c r="F122" s="16">
        <x:f t="shared" si="66"/>
        <x:v>70082</x:v>
      </x:c>
      <x:c r="G122" s="16">
        <x:f t="shared" si="66"/>
        <x:v>82222</x:v>
      </x:c>
      <x:c r="H122" s="16">
        <x:f t="shared" si="66"/>
        <x:v>89087</x:v>
      </x:c>
      <x:c r="I122" s="16">
        <x:f t="shared" si="66"/>
        <x:v>93462</x:v>
      </x:c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 ht="15.75" customHeight="1">
      <x:c r="A123" s="16"/>
      <x:c r="B123" s="16" t="s">
        <x:v>91</x:v>
      </x:c>
      <x:c r="C123" s="16"/>
      <x:c r="D123" s="22"/>
      <x:c r="E123" s="16" t="n">
        <x:f t="shared" ref="E123:I123" si="67">E33</x:f>
        <x:v>3594</x:v>
      </x:c>
      <x:c r="F123" s="16">
        <x:f t="shared" si="67"/>
        <x:v>16649</x:v>
      </x:c>
      <x:c r="G123" s="16">
        <x:f t="shared" si="67"/>
        <x:v>29558</x:v>
      </x:c>
      <x:c r="H123" s="16">
        <x:f t="shared" si="67"/>
        <x:v>37621.5</x:v>
      </x:c>
      <x:c r="I123" s="16">
        <x:f t="shared" si="67"/>
        <x:v>39824.550000000003</x:v>
      </x:c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 ht="15.75" customHeight="1">
      <x:c r="A124" s="16"/>
      <x:c r="B124" s="16"/>
      <x:c r="C124" s="16"/>
      <x:c r="D124" s="22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 ht="15.75" customHeight="1">
      <x:c r="A125" s="16"/>
      <x:c r="B125" s="16" t="s">
        <x:v>61</x:v>
      </x:c>
      <x:c r="C125" s="16"/>
      <x:c r="D125" s="22"/>
      <x:c r="E125" s="16" t="n">
        <x:f t="shared" ref="E125:I125" si="68">E65</x:f>
        <x:v>12971.179199999999</x:v>
      </x:c>
      <x:c r="F125" s="16">
        <x:f t="shared" si="68"/>
        <x:v>28238.733497877969</x:v>
      </x:c>
      <x:c r="G125" s="16">
        <x:f t="shared" si="68"/>
        <x:v>37505.343885131326</x:v>
      </x:c>
      <x:c r="H125" s="16">
        <x:f t="shared" si="68"/>
        <x:v>42354.07902359531</x:v>
      </x:c>
      <x:c r="I125" s="16">
        <x:f t="shared" si="68"/>
        <x:v>43480.18475858029</x:v>
      </x:c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 ht="15.75" customHeight="1">
      <x:c r="A126" s="16"/>
      <x:c r="B126" s="16" t="s">
        <x:v>65</x:v>
      </x:c>
      <x:c r="C126" s="16"/>
      <x:c r="D126" s="22"/>
      <x:c r="E126" s="16" t="n">
        <x:f t="shared" ref="E126:I126" si="69">-E69</x:f>
        <x:v>-15000</x:v>
      </x:c>
      <x:c r="F126" s="16">
        <x:f t="shared" si="69"/>
        <x:v>-15000</x:v>
      </x:c>
      <x:c r="G126" s="16">
        <x:f t="shared" si="69"/>
        <x:v>-15000</x:v>
      </x:c>
      <x:c r="H126" s="16">
        <x:f t="shared" si="69"/>
        <x:v>-15000</x:v>
      </x:c>
      <x:c r="I126" s="16">
        <x:f t="shared" si="69"/>
        <x:v>-15000</x:v>
      </x:c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 ht="15.75" customHeight="1">
      <x:c r="A127" s="16"/>
      <x:c r="B127" s="16" t="s">
        <x:v>68</x:v>
      </x:c>
      <x:c r="C127" s="16"/>
      <x:c r="D127" s="22"/>
      <x:c r="E127" s="16" t="n">
        <x:f t="shared" ref="E127:I127" si="70">E74</x:f>
        <x:v>170000</x:v>
      </x:c>
      <x:c r="F127" s="16">
        <x:f t="shared" si="70"/>
        <x:v>0</x:v>
      </x:c>
      <x:c r="G127" s="16">
        <x:f t="shared" si="70"/>
        <x:v>-20000</x:v>
      </x:c>
      <x:c r="H127" s="16">
        <x:f t="shared" si="70"/>
        <x:v>0</x:v>
      </x:c>
      <x:c r="I127" s="16">
        <x:f t="shared" si="70"/>
        <x:v>0</x:v>
      </x:c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 ht="15.75" customHeight="1">
      <x:c r="A128" s="16"/>
      <x:c r="B128" s="16"/>
      <x:c r="C128" s="16"/>
      <x:c r="D128" s="22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 ht="15.75" customHeight="1">
      <x:c r="A129" s="16"/>
      <x:c r="B129" s="16"/>
      <x:c r="C129" s="16"/>
      <x:c r="D129" s="22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 ht="15.75" customHeight="1">
      <x:c r="A130" s="16"/>
      <x:c r="B130" s="16"/>
      <x:c r="C130" s="16"/>
      <x:c r="D130" s="22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 ht="15.75" customHeight="1">
      <x:c r="A131" s="16"/>
      <x:c r="B131" s="51" t="s">
        <x:v>92</x:v>
      </x:c>
      <x:c r="C131" s="16"/>
      <x:c r="D131" s="22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 ht="15.75" customHeight="1">
      <x:c r="A132" s="16"/>
      <x:c r="B132" s="50"/>
      <x:c r="C132" s="50"/>
      <x:c r="D132" s="50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 ht="15.75" customHeight="1">
      <x:c r="A133" s="16"/>
      <x:c r="B133" s="50"/>
      <x:c r="C133" s="50"/>
      <x:c r="D133" s="50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 ht="15.75" customHeight="1">
      <x:c r="A134" s="16"/>
      <x:c r="B134" s="50"/>
      <x:c r="C134" s="50"/>
      <x:c r="D134" s="50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 ht="15.75" customHeight="1">
      <x:c r="A135" s="16"/>
      <x:c r="B135" s="50"/>
      <x:c r="C135" s="50"/>
      <x:c r="D135" s="50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 ht="15.75" customHeight="1">
      <x:c r="A136" s="16"/>
      <x:c r="B136" s="50"/>
      <x:c r="C136" s="50"/>
      <x:c r="D136" s="50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 ht="15.75" customHeight="1">
      <x:c r="A137" s="16"/>
      <x:c r="B137" s="50" t="s">
        <x:v>93</x:v>
      </x:c>
      <x:c r="C137" s="52"/>
      <x:c r="D137" s="52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 ht="15.75" customHeight="1">
      <x:c r="A138" s="16"/>
      <x:c r="B138" s="53" t="s">
        <x:v>6</x:v>
      </x:c>
      <x:c r="C138" s="54"/>
      <x:c r="D138" s="54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 ht="15.75" customHeight="1">
      <x:c r="A139" s="16"/>
      <x:c r="B139" s="16"/>
      <x:c r="C139" s="16"/>
      <x:c r="D139" s="22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 ht="15.75" customHeight="1">
      <x:c r="A140" s="16"/>
      <x:c r="B140" s="16"/>
      <x:c r="C140" s="16"/>
      <x:c r="D140" s="22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 ht="15.75" customHeight="1">
      <x:c r="A141" s="16"/>
      <x:c r="B141" s="16"/>
      <x:c r="C141" s="16"/>
      <x:c r="D141" s="22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 ht="15.75" customHeight="1">
      <x:c r="A142" s="16"/>
      <x:c r="B142" s="16"/>
      <x:c r="C142" s="16"/>
      <x:c r="D142" s="22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 ht="15.75" customHeight="1">
      <x:c r="A143" s="16"/>
      <x:c r="B143" s="16"/>
      <x:c r="C143" s="16"/>
      <x:c r="D143" s="22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 ht="15.75" customHeight="1">
      <x:c r="A144" s="16"/>
      <x:c r="B144" s="16"/>
      <x:c r="C144" s="16"/>
      <x:c r="D144" s="22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 ht="15.75" customHeight="1">
      <x:c r="A145" s="16"/>
      <x:c r="B145" s="16"/>
      <x:c r="C145" s="16"/>
      <x:c r="D145" s="22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 ht="15.75" customHeight="1">
      <x:c r="A146" s="16"/>
      <x:c r="B146" s="16"/>
      <x:c r="C146" s="16"/>
      <x:c r="D146" s="22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 ht="15.75" customHeight="1">
      <x:c r="A147" s="16"/>
      <x:c r="B147" s="16"/>
      <x:c r="C147" s="16"/>
      <x:c r="D147" s="22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 ht="15.75" customHeight="1">
      <x:c r="A148" s="16"/>
      <x:c r="B148" s="16"/>
      <x:c r="C148" s="16"/>
      <x:c r="D148" s="22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 ht="15.75" customHeight="1">
      <x:c r="A149" s="16"/>
      <x:c r="B149" s="16"/>
      <x:c r="C149" s="16"/>
      <x:c r="D149" s="22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 ht="15.75" customHeight="1">
      <x:c r="A150" s="16"/>
      <x:c r="B150" s="16"/>
      <x:c r="C150" s="16"/>
      <x:c r="D150" s="22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 ht="15.75" customHeight="1">
      <x:c r="A151" s="16"/>
      <x:c r="B151" s="16"/>
      <x:c r="C151" s="16"/>
      <x:c r="D151" s="22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 ht="15.75" customHeight="1">
      <x:c r="A152" s="16"/>
      <x:c r="B152" s="16"/>
      <x:c r="C152" s="16"/>
      <x:c r="D152" s="22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 ht="15.75" customHeight="1">
      <x:c r="A153" s="16"/>
      <x:c r="B153" s="16"/>
      <x:c r="C153" s="16"/>
      <x:c r="D153" s="22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 ht="15.75" customHeight="1">
      <x:c r="A154" s="16"/>
      <x:c r="B154" s="16"/>
      <x:c r="C154" s="16"/>
      <x:c r="D154" s="22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 ht="15.75" customHeight="1">
      <x:c r="A155" s="16"/>
      <x:c r="B155" s="16"/>
      <x:c r="C155" s="16"/>
      <x:c r="D155" s="22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 ht="15.75" customHeight="1">
      <x:c r="A156" s="16"/>
      <x:c r="B156" s="16"/>
      <x:c r="C156" s="16"/>
      <x:c r="D156" s="22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 ht="15.75" customHeight="1">
      <x:c r="A157" s="16"/>
      <x:c r="B157" s="16"/>
      <x:c r="C157" s="16"/>
      <x:c r="D157" s="22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 ht="15.75" customHeight="1">
      <x:c r="A158" s="16"/>
      <x:c r="B158" s="16"/>
      <x:c r="C158" s="16"/>
      <x:c r="D158" s="22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 ht="15.75" customHeight="1">
      <x:c r="A159" s="16"/>
      <x:c r="B159" s="16"/>
      <x:c r="C159" s="16"/>
      <x:c r="D159" s="22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 ht="15.75" customHeight="1">
      <x:c r="A160" s="16"/>
      <x:c r="B160" s="16"/>
      <x:c r="C160" s="16"/>
      <x:c r="D160" s="22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 ht="15.75" customHeight="1">
      <x:c r="A161" s="16"/>
      <x:c r="B161" s="16"/>
      <x:c r="C161" s="16"/>
      <x:c r="D161" s="22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 ht="15.75" customHeight="1">
      <x:c r="A162" s="16"/>
      <x:c r="B162" s="16"/>
      <x:c r="C162" s="16"/>
      <x:c r="D162" s="22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 ht="15.75" customHeight="1">
      <x:c r="A163" s="16"/>
      <x:c r="B163" s="16"/>
      <x:c r="C163" s="16"/>
      <x:c r="D163" s="22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 ht="15.75" customHeight="1">
      <x:c r="A164" s="16"/>
      <x:c r="B164" s="16"/>
      <x:c r="C164" s="16"/>
      <x:c r="D164" s="22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 ht="15.75" customHeight="1">
      <x:c r="A165" s="16"/>
      <x:c r="B165" s="16"/>
      <x:c r="C165" s="16"/>
      <x:c r="D165" s="22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 ht="15.75" customHeight="1">
      <x:c r="A166" s="16"/>
      <x:c r="B166" s="16"/>
      <x:c r="C166" s="16"/>
      <x:c r="D166" s="22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 ht="15.75" customHeight="1">
      <x:c r="A167" s="16"/>
      <x:c r="B167" s="16"/>
      <x:c r="C167" s="16"/>
      <x:c r="D167" s="22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 ht="15.75" customHeight="1">
      <x:c r="A168" s="16"/>
      <x:c r="B168" s="16"/>
      <x:c r="C168" s="16"/>
      <x:c r="D168" s="22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 ht="15.75" customHeight="1">
      <x:c r="A169" s="16"/>
      <x:c r="B169" s="16"/>
      <x:c r="C169" s="16"/>
      <x:c r="D169" s="22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 ht="15.75" customHeight="1">
      <x:c r="A170" s="16"/>
      <x:c r="B170" s="16"/>
      <x:c r="C170" s="16"/>
      <x:c r="D170" s="22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 ht="15.75" customHeight="1">
      <x:c r="A171" s="16"/>
      <x:c r="B171" s="16"/>
      <x:c r="C171" s="16"/>
      <x:c r="D171" s="22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 ht="15.75" customHeight="1">
      <x:c r="A172" s="16"/>
      <x:c r="B172" s="16"/>
      <x:c r="C172" s="16"/>
      <x:c r="D172" s="22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 ht="15.75" customHeight="1">
      <x:c r="A173" s="16"/>
      <x:c r="B173" s="16"/>
      <x:c r="C173" s="16"/>
      <x:c r="D173" s="22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 ht="15.75" customHeight="1">
      <x:c r="A174" s="16"/>
      <x:c r="B174" s="16"/>
      <x:c r="C174" s="16"/>
      <x:c r="D174" s="22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 ht="15.75" customHeight="1">
      <x:c r="A175" s="16"/>
      <x:c r="B175" s="16"/>
      <x:c r="C175" s="16"/>
      <x:c r="D175" s="22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 ht="15.75" customHeight="1">
      <x:c r="A176" s="16"/>
      <x:c r="B176" s="16"/>
      <x:c r="C176" s="16"/>
      <x:c r="D176" s="22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 ht="15.75" customHeight="1">
      <x:c r="A177" s="16"/>
      <x:c r="B177" s="16"/>
      <x:c r="C177" s="16"/>
      <x:c r="D177" s="22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 ht="15.75" customHeight="1">
      <x:c r="A178" s="16"/>
      <x:c r="B178" s="16"/>
      <x:c r="C178" s="16"/>
      <x:c r="D178" s="22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 ht="15.75" customHeight="1">
      <x:c r="A179" s="16"/>
      <x:c r="B179" s="16"/>
      <x:c r="C179" s="16"/>
      <x:c r="D179" s="22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 ht="15.75" customHeight="1">
      <x:c r="A180" s="16"/>
      <x:c r="B180" s="16"/>
      <x:c r="C180" s="16"/>
      <x:c r="D180" s="22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 ht="15.75" customHeight="1">
      <x:c r="A181" s="16"/>
      <x:c r="B181" s="16"/>
      <x:c r="C181" s="16"/>
      <x:c r="D181" s="22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 ht="15.75" customHeight="1">
      <x:c r="A182" s="16"/>
      <x:c r="B182" s="16"/>
      <x:c r="C182" s="16"/>
      <x:c r="D182" s="22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 ht="15.75" customHeight="1">
      <x:c r="A183" s="16"/>
      <x:c r="B183" s="16"/>
      <x:c r="C183" s="16"/>
      <x:c r="D183" s="22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 ht="15.75" customHeight="1">
      <x:c r="A184" s="16"/>
      <x:c r="B184" s="16"/>
      <x:c r="C184" s="16"/>
      <x:c r="D184" s="22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 ht="15.75" customHeight="1">
      <x:c r="A185" s="16"/>
      <x:c r="B185" s="16"/>
      <x:c r="C185" s="16"/>
      <x:c r="D185" s="22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 ht="15.75" customHeight="1">
      <x:c r="A186" s="16"/>
      <x:c r="B186" s="16"/>
      <x:c r="C186" s="16"/>
      <x:c r="D186" s="22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 ht="15.75" customHeight="1">
      <x:c r="A187" s="16"/>
      <x:c r="B187" s="16"/>
      <x:c r="C187" s="16"/>
      <x:c r="D187" s="22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 ht="15.75" customHeight="1">
      <x:c r="A188" s="16"/>
      <x:c r="B188" s="16"/>
      <x:c r="C188" s="16"/>
      <x:c r="D188" s="22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 ht="15.75" customHeight="1">
      <x:c r="A189" s="16"/>
      <x:c r="B189" s="16"/>
      <x:c r="C189" s="16"/>
      <x:c r="D189" s="22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 ht="15.75" customHeight="1">
      <x:c r="A190" s="16"/>
      <x:c r="B190" s="16"/>
      <x:c r="C190" s="16"/>
      <x:c r="D190" s="22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 ht="15.75" customHeight="1">
      <x:c r="A191" s="16"/>
      <x:c r="B191" s="16"/>
      <x:c r="C191" s="16"/>
      <x:c r="D191" s="22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 ht="15.75" customHeight="1">
      <x:c r="A192" s="16"/>
      <x:c r="B192" s="16"/>
      <x:c r="C192" s="16"/>
      <x:c r="D192" s="22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 ht="15.75" customHeight="1">
      <x:c r="A193" s="16"/>
      <x:c r="B193" s="16"/>
      <x:c r="C193" s="16"/>
      <x:c r="D193" s="22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 ht="15.75" customHeight="1">
      <x:c r="A194" s="16"/>
      <x:c r="B194" s="16"/>
      <x:c r="C194" s="16"/>
      <x:c r="D194" s="22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 ht="15.75" customHeight="1">
      <x:c r="A195" s="16"/>
      <x:c r="B195" s="16"/>
      <x:c r="C195" s="16"/>
      <x:c r="D195" s="22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 ht="15.75" customHeight="1">
      <x:c r="A196" s="16"/>
      <x:c r="B196" s="16"/>
      <x:c r="C196" s="16"/>
      <x:c r="D196" s="22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 ht="15.75" customHeight="1">
      <x:c r="A197" s="16"/>
      <x:c r="B197" s="16"/>
      <x:c r="C197" s="16"/>
      <x:c r="D197" s="22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 ht="15.75" customHeight="1">
      <x:c r="A198" s="16"/>
      <x:c r="B198" s="16"/>
      <x:c r="C198" s="16"/>
      <x:c r="D198" s="22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 ht="15.75" customHeight="1">
      <x:c r="A199" s="16"/>
      <x:c r="B199" s="16"/>
      <x:c r="C199" s="16"/>
      <x:c r="D199" s="22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 ht="15.75" customHeight="1">
      <x:c r="A200" s="16"/>
      <x:c r="B200" s="16"/>
      <x:c r="C200" s="16"/>
      <x:c r="D200" s="22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 ht="15.75" customHeight="1">
      <x:c r="A201" s="16"/>
      <x:c r="B201" s="16"/>
      <x:c r="C201" s="16"/>
      <x:c r="D201" s="22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 ht="15.75" customHeight="1">
      <x:c r="A202" s="16"/>
      <x:c r="B202" s="16"/>
      <x:c r="C202" s="16"/>
      <x:c r="D202" s="22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 ht="15.75" customHeight="1">
      <x:c r="A203" s="16"/>
      <x:c r="B203" s="16"/>
      <x:c r="C203" s="16"/>
      <x:c r="D203" s="22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 ht="15.75" customHeight="1">
      <x:c r="A204" s="16"/>
      <x:c r="B204" s="16"/>
      <x:c r="C204" s="16"/>
      <x:c r="D204" s="22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 ht="15.75" customHeight="1">
      <x:c r="A205" s="16"/>
      <x:c r="B205" s="16"/>
      <x:c r="C205" s="16"/>
      <x:c r="D205" s="22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 ht="15.75" customHeight="1">
      <x:c r="A206" s="16"/>
      <x:c r="B206" s="16"/>
      <x:c r="C206" s="16"/>
      <x:c r="D206" s="22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 ht="15.75" customHeight="1">
      <x:c r="A207" s="16"/>
      <x:c r="B207" s="16"/>
      <x:c r="C207" s="16"/>
      <x:c r="D207" s="22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 ht="15.75" customHeight="1">
      <x:c r="A208" s="16"/>
      <x:c r="B208" s="16"/>
      <x:c r="C208" s="16"/>
      <x:c r="D208" s="22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 ht="15.75" customHeight="1">
      <x:c r="A209" s="16"/>
      <x:c r="B209" s="16"/>
      <x:c r="C209" s="16"/>
      <x:c r="D209" s="22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 ht="15.75" customHeight="1">
      <x:c r="A210" s="16"/>
      <x:c r="B210" s="16"/>
      <x:c r="C210" s="16"/>
      <x:c r="D210" s="22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 ht="15.75" customHeight="1">
      <x:c r="A211" s="16"/>
      <x:c r="B211" s="16"/>
      <x:c r="C211" s="16"/>
      <x:c r="D211" s="22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 ht="15.75" customHeight="1">
      <x:c r="A212" s="16"/>
      <x:c r="B212" s="16"/>
      <x:c r="C212" s="16"/>
      <x:c r="D212" s="22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 ht="15.75" customHeight="1">
      <x:c r="A213" s="16"/>
      <x:c r="B213" s="16"/>
      <x:c r="C213" s="16"/>
      <x:c r="D213" s="22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 ht="15.75" customHeight="1">
      <x:c r="A214" s="16"/>
      <x:c r="B214" s="16"/>
      <x:c r="C214" s="16"/>
      <x:c r="D214" s="22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 ht="15.75" customHeight="1">
      <x:c r="A215" s="16"/>
      <x:c r="B215" s="16"/>
      <x:c r="C215" s="16"/>
      <x:c r="D215" s="22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 ht="15.75" customHeight="1">
      <x:c r="A216" s="16"/>
      <x:c r="B216" s="16"/>
      <x:c r="C216" s="16"/>
      <x:c r="D216" s="22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 ht="15.75" customHeight="1">
      <x:c r="A217" s="16"/>
      <x:c r="B217" s="16"/>
      <x:c r="C217" s="16"/>
      <x:c r="D217" s="22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 ht="15.75" customHeight="1">
      <x:c r="A218" s="16"/>
      <x:c r="B218" s="16"/>
      <x:c r="C218" s="16"/>
      <x:c r="D218" s="22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 ht="15.75" customHeight="1">
      <x:c r="A219" s="16"/>
      <x:c r="B219" s="16"/>
      <x:c r="C219" s="16"/>
      <x:c r="D219" s="22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 ht="15.75" customHeight="1">
      <x:c r="A220" s="16"/>
      <x:c r="B220" s="16"/>
      <x:c r="C220" s="16"/>
      <x:c r="D220" s="22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 ht="15.75" customHeight="1">
      <x:c r="A221" s="16"/>
      <x:c r="B221" s="16"/>
      <x:c r="C221" s="16"/>
      <x:c r="D221" s="22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 ht="15.75" customHeight="1">
      <x:c r="A222" s="16"/>
      <x:c r="B222" s="16"/>
      <x:c r="C222" s="16"/>
      <x:c r="D222" s="22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 ht="15.75" customHeight="1">
      <x:c r="A223" s="16"/>
      <x:c r="B223" s="16"/>
      <x:c r="C223" s="16"/>
      <x:c r="D223" s="22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 ht="15.75" customHeight="1">
      <x:c r="A224" s="16"/>
      <x:c r="B224" s="16"/>
      <x:c r="C224" s="16"/>
      <x:c r="D224" s="22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 ht="15.75" customHeight="1">
      <x:c r="A225" s="16"/>
      <x:c r="B225" s="16"/>
      <x:c r="C225" s="16"/>
      <x:c r="D225" s="22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 ht="15.75" customHeight="1">
      <x:c r="A226" s="16"/>
      <x:c r="B226" s="16"/>
      <x:c r="C226" s="16"/>
      <x:c r="D226" s="22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 ht="15.75" customHeight="1">
      <x:c r="A227" s="16"/>
      <x:c r="B227" s="16"/>
      <x:c r="C227" s="16"/>
      <x:c r="D227" s="22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 ht="15.75" customHeight="1">
      <x:c r="A228" s="16"/>
      <x:c r="B228" s="16"/>
      <x:c r="C228" s="16"/>
      <x:c r="D228" s="22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 ht="15.75" customHeight="1">
      <x:c r="A229" s="16"/>
      <x:c r="B229" s="16"/>
      <x:c r="C229" s="16"/>
      <x:c r="D229" s="22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 ht="15.75" customHeight="1">
      <x:c r="A230" s="16"/>
      <x:c r="B230" s="16"/>
      <x:c r="C230" s="16"/>
      <x:c r="D230" s="22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 ht="15.75" customHeight="1">
      <x:c r="A231" s="16"/>
      <x:c r="B231" s="16"/>
      <x:c r="C231" s="16"/>
      <x:c r="D231" s="22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 ht="15.75" customHeight="1">
      <x:c r="A232" s="16"/>
      <x:c r="B232" s="16"/>
      <x:c r="C232" s="16"/>
      <x:c r="D232" s="22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 ht="15.75" customHeight="1">
      <x:c r="A233" s="16"/>
      <x:c r="B233" s="16"/>
      <x:c r="C233" s="16"/>
      <x:c r="D233" s="22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 ht="15.75" customHeight="1">
      <x:c r="A234" s="16"/>
      <x:c r="B234" s="16"/>
      <x:c r="C234" s="16"/>
      <x:c r="D234" s="22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 ht="15.75" customHeight="1">
      <x:c r="A235" s="16"/>
      <x:c r="B235" s="16"/>
      <x:c r="C235" s="16"/>
      <x:c r="D235" s="22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 ht="15.75" customHeight="1">
      <x:c r="A236" s="16"/>
      <x:c r="B236" s="16"/>
      <x:c r="C236" s="16"/>
      <x:c r="D236" s="22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 ht="15.75" customHeight="1">
      <x:c r="A237" s="16"/>
      <x:c r="B237" s="16"/>
      <x:c r="C237" s="16"/>
      <x:c r="D237" s="22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 ht="15.75" customHeight="1">
      <x:c r="A238" s="16"/>
      <x:c r="B238" s="16"/>
      <x:c r="C238" s="16"/>
      <x:c r="D238" s="22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 ht="15.75" customHeight="1">
      <x:c r="A239" s="16"/>
      <x:c r="B239" s="16"/>
      <x:c r="C239" s="16"/>
      <x:c r="D239" s="22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 ht="15.75" customHeight="1">
      <x:c r="A240" s="16"/>
      <x:c r="B240" s="16"/>
      <x:c r="C240" s="16"/>
      <x:c r="D240" s="22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 ht="15.75" customHeight="1">
      <x:c r="A241" s="16"/>
      <x:c r="B241" s="16"/>
      <x:c r="C241" s="16"/>
      <x:c r="D241" s="22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 ht="15.75" customHeight="1">
      <x:c r="A242" s="16"/>
      <x:c r="B242" s="16"/>
      <x:c r="C242" s="16"/>
      <x:c r="D242" s="22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 ht="15.75" customHeight="1">
      <x:c r="A243" s="16"/>
      <x:c r="B243" s="16"/>
      <x:c r="C243" s="16"/>
      <x:c r="D243" s="22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 ht="15.75" customHeight="1">
      <x:c r="A244" s="16"/>
      <x:c r="B244" s="16"/>
      <x:c r="C244" s="16"/>
      <x:c r="D244" s="22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 ht="15.75" customHeight="1">
      <x:c r="A245" s="16"/>
      <x:c r="B245" s="16"/>
      <x:c r="C245" s="16"/>
      <x:c r="D245" s="22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 ht="15.75" customHeight="1">
      <x:c r="A246" s="16"/>
      <x:c r="B246" s="16"/>
      <x:c r="C246" s="16"/>
      <x:c r="D246" s="22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 ht="15.75" customHeight="1">
      <x:c r="A247" s="16"/>
      <x:c r="B247" s="16"/>
      <x:c r="C247" s="16"/>
      <x:c r="D247" s="22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 ht="15.75" customHeight="1">
      <x:c r="A248" s="16"/>
      <x:c r="B248" s="16"/>
      <x:c r="C248" s="16"/>
      <x:c r="D248" s="22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 ht="15.75" customHeight="1">
      <x:c r="A249" s="16"/>
      <x:c r="B249" s="16"/>
      <x:c r="C249" s="16"/>
      <x:c r="D249" s="22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 ht="15.75" customHeight="1">
      <x:c r="A250" s="16"/>
      <x:c r="B250" s="16"/>
      <x:c r="C250" s="16"/>
      <x:c r="D250" s="22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 ht="15.75" customHeight="1">
      <x:c r="A251" s="16"/>
      <x:c r="B251" s="16"/>
      <x:c r="C251" s="16"/>
      <x:c r="D251" s="22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 ht="15.75" customHeight="1">
      <x:c r="A252" s="16"/>
      <x:c r="B252" s="16"/>
      <x:c r="C252" s="16"/>
      <x:c r="D252" s="22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 ht="15.75" customHeight="1">
      <x:c r="A253" s="16"/>
      <x:c r="B253" s="16"/>
      <x:c r="C253" s="16"/>
      <x:c r="D253" s="22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 ht="15.75" customHeight="1">
      <x:c r="A254" s="16"/>
      <x:c r="B254" s="16"/>
      <x:c r="C254" s="16"/>
      <x:c r="D254" s="22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 ht="15.75" customHeight="1">
      <x:c r="A255" s="16"/>
      <x:c r="B255" s="16"/>
      <x:c r="C255" s="16"/>
      <x:c r="D255" s="22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 ht="15.75" customHeight="1">
      <x:c r="A256" s="16"/>
      <x:c r="B256" s="16"/>
      <x:c r="C256" s="16"/>
      <x:c r="D256" s="22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 ht="15.75" customHeight="1">
      <x:c r="A257" s="16"/>
      <x:c r="B257" s="16"/>
      <x:c r="C257" s="16"/>
      <x:c r="D257" s="22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 ht="15.75" customHeight="1">
      <x:c r="A258" s="16"/>
      <x:c r="B258" s="16"/>
      <x:c r="C258" s="16"/>
      <x:c r="D258" s="22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 ht="15.75" customHeight="1">
      <x:c r="A259" s="16"/>
      <x:c r="B259" s="16"/>
      <x:c r="C259" s="16"/>
      <x:c r="D259" s="22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 ht="15.75" customHeight="1">
      <x:c r="A260" s="16"/>
      <x:c r="B260" s="16"/>
      <x:c r="C260" s="16"/>
      <x:c r="D260" s="22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 ht="15.75" customHeight="1">
      <x:c r="A261" s="16"/>
      <x:c r="B261" s="16"/>
      <x:c r="C261" s="16"/>
      <x:c r="D261" s="22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 ht="15.75" customHeight="1">
      <x:c r="A262" s="16"/>
      <x:c r="B262" s="16"/>
      <x:c r="C262" s="16"/>
      <x:c r="D262" s="22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 ht="15.75" customHeight="1">
      <x:c r="A263" s="16"/>
      <x:c r="B263" s="16"/>
      <x:c r="C263" s="16"/>
      <x:c r="D263" s="22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 ht="15.75" customHeight="1">
      <x:c r="A264" s="16"/>
      <x:c r="B264" s="16"/>
      <x:c r="C264" s="16"/>
      <x:c r="D264" s="22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 ht="15.75" customHeight="1">
      <x:c r="A265" s="16"/>
      <x:c r="B265" s="16"/>
      <x:c r="C265" s="16"/>
      <x:c r="D265" s="22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 ht="15.75" customHeight="1">
      <x:c r="A266" s="16"/>
      <x:c r="B266" s="16"/>
      <x:c r="C266" s="16"/>
      <x:c r="D266" s="22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 ht="15.75" customHeight="1">
      <x:c r="A267" s="16"/>
      <x:c r="B267" s="16"/>
      <x:c r="C267" s="16"/>
      <x:c r="D267" s="22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 ht="15.75" customHeight="1">
      <x:c r="A268" s="16"/>
      <x:c r="B268" s="16"/>
      <x:c r="C268" s="16"/>
      <x:c r="D268" s="22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 ht="15.75" customHeight="1">
      <x:c r="A269" s="16"/>
      <x:c r="B269" s="16"/>
      <x:c r="C269" s="16"/>
      <x:c r="D269" s="22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 ht="15.75" customHeight="1">
      <x:c r="A270" s="16"/>
      <x:c r="B270" s="16"/>
      <x:c r="C270" s="16"/>
      <x:c r="D270" s="22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 ht="15.75" customHeight="1">
      <x:c r="A271" s="16"/>
      <x:c r="B271" s="16"/>
      <x:c r="C271" s="16"/>
      <x:c r="D271" s="22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 ht="15.75" customHeight="1">
      <x:c r="A272" s="16"/>
      <x:c r="B272" s="16"/>
      <x:c r="C272" s="16"/>
      <x:c r="D272" s="22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 ht="15.75" customHeight="1">
      <x:c r="A273" s="16"/>
      <x:c r="B273" s="16"/>
      <x:c r="C273" s="16"/>
      <x:c r="D273" s="22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 ht="15.75" customHeight="1">
      <x:c r="A274" s="16"/>
      <x:c r="B274" s="16"/>
      <x:c r="C274" s="16"/>
      <x:c r="D274" s="22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 ht="15.75" customHeight="1">
      <x:c r="A275" s="16"/>
      <x:c r="B275" s="16"/>
      <x:c r="C275" s="16"/>
      <x:c r="D275" s="22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 ht="15.75" customHeight="1">
      <x:c r="A276" s="16"/>
      <x:c r="B276" s="16"/>
      <x:c r="C276" s="16"/>
      <x:c r="D276" s="22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 ht="15.75" customHeight="1">
      <x:c r="A277" s="16"/>
      <x:c r="B277" s="16"/>
      <x:c r="C277" s="16"/>
      <x:c r="D277" s="22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 ht="15.75" customHeight="1">
      <x:c r="A278" s="16"/>
      <x:c r="B278" s="16"/>
      <x:c r="C278" s="16"/>
      <x:c r="D278" s="22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 ht="15.75" customHeight="1">
      <x:c r="A279" s="16"/>
      <x:c r="B279" s="16"/>
      <x:c r="C279" s="16"/>
      <x:c r="D279" s="22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 ht="15.75" customHeight="1">
      <x:c r="A280" s="16"/>
      <x:c r="B280" s="16"/>
      <x:c r="C280" s="16"/>
      <x:c r="D280" s="22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 ht="15.75" customHeight="1">
      <x:c r="A281" s="16"/>
      <x:c r="B281" s="16"/>
      <x:c r="C281" s="16"/>
      <x:c r="D281" s="22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 ht="15.75" customHeight="1">
      <x:c r="A282" s="16"/>
      <x:c r="B282" s="16"/>
      <x:c r="C282" s="16"/>
      <x:c r="D282" s="22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 ht="15.75" customHeight="1">
      <x:c r="A283" s="16"/>
      <x:c r="B283" s="16"/>
      <x:c r="C283" s="16"/>
      <x:c r="D283" s="22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 ht="15.75" customHeight="1">
      <x:c r="A284" s="16"/>
      <x:c r="B284" s="16"/>
      <x:c r="C284" s="16"/>
      <x:c r="D284" s="22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 ht="15.75" customHeight="1">
      <x:c r="A285" s="16"/>
      <x:c r="B285" s="16"/>
      <x:c r="C285" s="16"/>
      <x:c r="D285" s="22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 ht="15.75" customHeight="1">
      <x:c r="A286" s="16"/>
      <x:c r="B286" s="16"/>
      <x:c r="C286" s="16"/>
      <x:c r="D286" s="22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 ht="15.75" customHeight="1">
      <x:c r="A287" s="16"/>
      <x:c r="B287" s="16"/>
      <x:c r="C287" s="16"/>
      <x:c r="D287" s="22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 ht="15.75" customHeight="1">
      <x:c r="A288" s="16"/>
      <x:c r="B288" s="16"/>
      <x:c r="C288" s="16"/>
      <x:c r="D288" s="22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 ht="15.75" customHeight="1">
      <x:c r="A289" s="16"/>
      <x:c r="B289" s="16"/>
      <x:c r="C289" s="16"/>
      <x:c r="D289" s="22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 ht="15.75" customHeight="1">
      <x:c r="A290" s="16"/>
      <x:c r="B290" s="16"/>
      <x:c r="C290" s="16"/>
      <x:c r="D290" s="22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 ht="15.75" customHeight="1">
      <x:c r="A291" s="16"/>
      <x:c r="B291" s="16"/>
      <x:c r="C291" s="16"/>
      <x:c r="D291" s="22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 ht="15.75" customHeight="1">
      <x:c r="A292" s="16"/>
      <x:c r="B292" s="16"/>
      <x:c r="C292" s="16"/>
      <x:c r="D292" s="22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 ht="15.75" customHeight="1">
      <x:c r="A293" s="16"/>
      <x:c r="B293" s="16"/>
      <x:c r="C293" s="16"/>
      <x:c r="D293" s="22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 ht="15.75" customHeight="1">
      <x:c r="A294" s="16"/>
      <x:c r="B294" s="16"/>
      <x:c r="C294" s="16"/>
      <x:c r="D294" s="22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 ht="15.75" customHeight="1">
      <x:c r="A295" s="16"/>
      <x:c r="B295" s="16"/>
      <x:c r="C295" s="16"/>
      <x:c r="D295" s="22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 ht="15.75" customHeight="1">
      <x:c r="A296" s="16"/>
      <x:c r="B296" s="16"/>
      <x:c r="C296" s="16"/>
      <x:c r="D296" s="22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 ht="15.75" customHeight="1">
      <x:c r="A297" s="16"/>
      <x:c r="B297" s="16"/>
      <x:c r="C297" s="16"/>
      <x:c r="D297" s="22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 ht="15.75" customHeight="1">
      <x:c r="A298" s="16"/>
      <x:c r="B298" s="16"/>
      <x:c r="C298" s="16"/>
      <x:c r="D298" s="22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 ht="15.75" customHeight="1">
      <x:c r="A299" s="16"/>
      <x:c r="B299" s="16"/>
      <x:c r="C299" s="16"/>
      <x:c r="D299" s="22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 ht="15.75" customHeight="1">
      <x:c r="A300" s="16"/>
      <x:c r="B300" s="16"/>
      <x:c r="C300" s="16"/>
      <x:c r="D300" s="22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  <x:row r="301" ht="15.75" customHeight="1">
      <x:c r="A301" s="16"/>
      <x:c r="B301" s="16"/>
      <x:c r="C301" s="16"/>
      <x:c r="D301" s="22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/>
      <x:c r="X301" s="16"/>
      <x:c r="Y301" s="16"/>
      <x:c r="Z301" s="16"/>
    </x:row>
    <x:row r="302" ht="15.75" customHeight="1">
      <x:c r="A302" s="16"/>
      <x:c r="B302" s="16"/>
      <x:c r="C302" s="16"/>
      <x:c r="D302" s="22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6"/>
      <x:c r="Z302" s="16"/>
    </x:row>
    <x:row r="303" ht="15.75" customHeight="1">
      <x:c r="A303" s="16"/>
      <x:c r="B303" s="16"/>
      <x:c r="C303" s="16"/>
      <x:c r="D303" s="22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/>
      <x:c r="W303" s="16"/>
      <x:c r="X303" s="16"/>
      <x:c r="Y303" s="16"/>
      <x:c r="Z303" s="16"/>
    </x:row>
    <x:row r="304" ht="15.75" customHeight="1">
      <x:c r="A304" s="16"/>
      <x:c r="B304" s="16"/>
      <x:c r="C304" s="16"/>
      <x:c r="D304" s="22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6"/>
      <x:c r="Z304" s="16"/>
    </x:row>
    <x:row r="305" ht="15.75" customHeight="1">
      <x:c r="A305" s="16"/>
      <x:c r="B305" s="16"/>
      <x:c r="C305" s="16"/>
      <x:c r="D305" s="22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  <x:c r="Z305" s="16"/>
    </x:row>
    <x:row r="306" ht="15.75" customHeight="1">
      <x:c r="A306" s="16"/>
      <x:c r="B306" s="16"/>
      <x:c r="C306" s="16"/>
      <x:c r="D306" s="22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/>
      <x:c r="W306" s="16"/>
      <x:c r="X306" s="16"/>
      <x:c r="Y306" s="16"/>
      <x:c r="Z306" s="16"/>
    </x:row>
    <x:row r="307" ht="15.75" customHeight="1">
      <x:c r="A307" s="16"/>
      <x:c r="B307" s="16"/>
      <x:c r="C307" s="16"/>
      <x:c r="D307" s="22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/>
      <x:c r="X307" s="16"/>
      <x:c r="Y307" s="16"/>
      <x:c r="Z307" s="16"/>
    </x:row>
    <x:row r="308" ht="15.75" customHeight="1">
      <x:c r="A308" s="16"/>
      <x:c r="B308" s="16"/>
      <x:c r="C308" s="16"/>
      <x:c r="D308" s="22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/>
      <x:c r="W308" s="16"/>
      <x:c r="X308" s="16"/>
      <x:c r="Y308" s="16"/>
      <x:c r="Z308" s="16"/>
    </x:row>
    <x:row r="309" ht="15.75" customHeight="1">
      <x:c r="A309" s="16"/>
      <x:c r="B309" s="16"/>
      <x:c r="C309" s="16"/>
      <x:c r="D309" s="22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/>
      <x:c r="W309" s="16"/>
      <x:c r="X309" s="16"/>
      <x:c r="Y309" s="16"/>
      <x:c r="Z309" s="16"/>
    </x:row>
    <x:row r="310" ht="15.75" customHeight="1">
      <x:c r="A310" s="16"/>
      <x:c r="B310" s="16"/>
      <x:c r="C310" s="16"/>
      <x:c r="D310" s="22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6"/>
      <x:c r="Z310" s="16"/>
    </x:row>
    <x:row r="311" ht="15.75" customHeight="1">
      <x:c r="A311" s="16"/>
      <x:c r="B311" s="16"/>
      <x:c r="C311" s="16"/>
      <x:c r="D311" s="22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6"/>
      <x:c r="Z311" s="16"/>
    </x:row>
    <x:row r="312" ht="15.75" customHeight="1">
      <x:c r="A312" s="16"/>
      <x:c r="B312" s="16"/>
      <x:c r="C312" s="16"/>
      <x:c r="D312" s="22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16"/>
      <x:c r="V312" s="16"/>
      <x:c r="W312" s="16"/>
      <x:c r="X312" s="16"/>
      <x:c r="Y312" s="16"/>
      <x:c r="Z312" s="16"/>
    </x:row>
    <x:row r="313" ht="15.75" customHeight="1">
      <x:c r="A313" s="16"/>
      <x:c r="B313" s="16"/>
      <x:c r="C313" s="16"/>
      <x:c r="D313" s="22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16"/>
      <x:c r="V313" s="16"/>
      <x:c r="W313" s="16"/>
      <x:c r="X313" s="16"/>
      <x:c r="Y313" s="16"/>
      <x:c r="Z313" s="16"/>
    </x:row>
    <x:row r="314" ht="15.75" customHeight="1">
      <x:c r="A314" s="16"/>
      <x:c r="B314" s="16"/>
      <x:c r="C314" s="16"/>
      <x:c r="D314" s="22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6"/>
      <x:c r="Z314" s="16"/>
    </x:row>
    <x:row r="315" ht="15.75" customHeight="1">
      <x:c r="A315" s="16"/>
      <x:c r="B315" s="16"/>
      <x:c r="C315" s="16"/>
      <x:c r="D315" s="22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/>
      <x:c r="W315" s="16"/>
      <x:c r="X315" s="16"/>
      <x:c r="Y315" s="16"/>
      <x:c r="Z315" s="16"/>
    </x:row>
    <x:row r="316" ht="15.75" customHeight="1">
      <x:c r="A316" s="16"/>
      <x:c r="B316" s="16"/>
      <x:c r="C316" s="16"/>
      <x:c r="D316" s="22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16"/>
      <x:c r="V316" s="16"/>
      <x:c r="W316" s="16"/>
      <x:c r="X316" s="16"/>
      <x:c r="Y316" s="16"/>
      <x:c r="Z316" s="16"/>
    </x:row>
    <x:row r="317" ht="15.75" customHeight="1">
      <x:c r="A317" s="16"/>
      <x:c r="B317" s="16"/>
      <x:c r="C317" s="16"/>
      <x:c r="D317" s="22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16"/>
      <x:c r="V317" s="16"/>
      <x:c r="W317" s="16"/>
      <x:c r="X317" s="16"/>
      <x:c r="Y317" s="16"/>
      <x:c r="Z317" s="16"/>
    </x:row>
    <x:row r="318" ht="15.75" customHeight="1">
      <x:c r="A318" s="16"/>
      <x:c r="B318" s="16"/>
      <x:c r="C318" s="16"/>
      <x:c r="D318" s="22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16"/>
      <x:c r="V318" s="16"/>
      <x:c r="W318" s="16"/>
      <x:c r="X318" s="16"/>
      <x:c r="Y318" s="16"/>
      <x:c r="Z318" s="16"/>
    </x:row>
    <x:row r="319" ht="15.75" customHeight="1">
      <x:c r="A319" s="16"/>
      <x:c r="B319" s="16"/>
      <x:c r="C319" s="16"/>
      <x:c r="D319" s="22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16"/>
      <x:c r="V319" s="16"/>
      <x:c r="W319" s="16"/>
      <x:c r="X319" s="16"/>
      <x:c r="Y319" s="16"/>
      <x:c r="Z319" s="16"/>
    </x:row>
    <x:row r="320" ht="15.75" customHeight="1">
      <x:c r="A320" s="16"/>
      <x:c r="B320" s="16"/>
      <x:c r="C320" s="16"/>
      <x:c r="D320" s="22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16"/>
      <x:c r="V320" s="16"/>
      <x:c r="W320" s="16"/>
      <x:c r="X320" s="16"/>
      <x:c r="Y320" s="16"/>
      <x:c r="Z320" s="16"/>
    </x:row>
    <x:row r="321" ht="15.75" customHeight="1">
      <x:c r="A321" s="16"/>
      <x:c r="B321" s="16"/>
      <x:c r="C321" s="16"/>
      <x:c r="D321" s="22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16"/>
      <x:c r="V321" s="16"/>
      <x:c r="W321" s="16"/>
      <x:c r="X321" s="16"/>
      <x:c r="Y321" s="16"/>
      <x:c r="Z321" s="16"/>
    </x:row>
    <x:row r="322" ht="15.75" customHeight="1">
      <x:c r="A322" s="16"/>
      <x:c r="B322" s="16"/>
      <x:c r="C322" s="16"/>
      <x:c r="D322" s="22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6"/>
      <x:c r="Z322" s="16"/>
    </x:row>
    <x:row r="323" ht="15.75" customHeight="1">
      <x:c r="A323" s="16"/>
      <x:c r="B323" s="16"/>
      <x:c r="C323" s="16"/>
      <x:c r="D323" s="22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  <x:c r="Z323" s="16"/>
    </x:row>
    <x:row r="324" ht="15.75" customHeight="1">
      <x:c r="A324" s="16"/>
      <x:c r="B324" s="16"/>
      <x:c r="C324" s="16"/>
      <x:c r="D324" s="22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16"/>
      <x:c r="V324" s="16"/>
      <x:c r="W324" s="16"/>
      <x:c r="X324" s="16"/>
      <x:c r="Y324" s="16"/>
      <x:c r="Z324" s="16"/>
    </x:row>
    <x:row r="325" ht="15.75" customHeight="1">
      <x:c r="A325" s="16"/>
      <x:c r="B325" s="16"/>
      <x:c r="C325" s="16"/>
      <x:c r="D325" s="22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16"/>
      <x:c r="V325" s="16"/>
      <x:c r="W325" s="16"/>
      <x:c r="X325" s="16"/>
      <x:c r="Y325" s="16"/>
      <x:c r="Z325" s="16"/>
    </x:row>
    <x:row r="326" ht="15.75" customHeight="1">
      <x:c r="A326" s="16"/>
      <x:c r="B326" s="16"/>
      <x:c r="C326" s="16"/>
      <x:c r="D326" s="22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16"/>
      <x:c r="V326" s="16"/>
      <x:c r="W326" s="16"/>
      <x:c r="X326" s="16"/>
      <x:c r="Y326" s="16"/>
      <x:c r="Z326" s="16"/>
    </x:row>
    <x:row r="327" ht="15.75" customHeight="1">
      <x:c r="A327" s="16"/>
      <x:c r="B327" s="16"/>
      <x:c r="C327" s="16"/>
      <x:c r="D327" s="22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16"/>
      <x:c r="V327" s="16"/>
      <x:c r="W327" s="16"/>
      <x:c r="X327" s="16"/>
      <x:c r="Y327" s="16"/>
      <x:c r="Z327" s="16"/>
    </x:row>
    <x:row r="328" ht="15.75" customHeight="1">
      <x:c r="A328" s="16"/>
      <x:c r="B328" s="16"/>
      <x:c r="C328" s="16"/>
      <x:c r="D328" s="22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16"/>
      <x:c r="V328" s="16"/>
      <x:c r="W328" s="16"/>
      <x:c r="X328" s="16"/>
      <x:c r="Y328" s="16"/>
      <x:c r="Z328" s="16"/>
    </x:row>
    <x:row r="329" ht="15.75" customHeight="1">
      <x:c r="A329" s="16"/>
      <x:c r="B329" s="16"/>
      <x:c r="C329" s="16"/>
      <x:c r="D329" s="22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16"/>
      <x:c r="V329" s="16"/>
      <x:c r="W329" s="16"/>
      <x:c r="X329" s="16"/>
      <x:c r="Y329" s="16"/>
      <x:c r="Z329" s="16"/>
    </x:row>
    <x:row r="330" ht="15.75" customHeight="1">
      <x:c r="A330" s="16"/>
      <x:c r="B330" s="16"/>
      <x:c r="C330" s="16"/>
      <x:c r="D330" s="22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/>
      <x:c r="W330" s="16"/>
      <x:c r="X330" s="16"/>
      <x:c r="Y330" s="16"/>
      <x:c r="Z330" s="16"/>
    </x:row>
    <x:row r="331" ht="15.75" customHeight="1">
      <x:c r="A331" s="16"/>
      <x:c r="B331" s="16"/>
      <x:c r="C331" s="16"/>
      <x:c r="D331" s="22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/>
      <x:c r="X331" s="16"/>
      <x:c r="Y331" s="16"/>
      <x:c r="Z331" s="16"/>
    </x:row>
    <x:row r="332" ht="15.75" customHeight="1">
      <x:c r="A332" s="16"/>
      <x:c r="B332" s="16"/>
      <x:c r="C332" s="16"/>
      <x:c r="D332" s="22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  <x:c r="Z332" s="16"/>
    </x:row>
    <x:row r="333" ht="15.75" customHeight="1">
      <x:c r="A333" s="16"/>
      <x:c r="B333" s="16"/>
      <x:c r="C333" s="16"/>
      <x:c r="D333" s="22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/>
      <x:c r="W333" s="16"/>
      <x:c r="X333" s="16"/>
      <x:c r="Y333" s="16"/>
      <x:c r="Z333" s="16"/>
    </x:row>
    <x:row r="334" ht="15.75" customHeight="1">
      <x:c r="A334" s="16"/>
      <x:c r="B334" s="16"/>
      <x:c r="C334" s="16"/>
      <x:c r="D334" s="22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6"/>
      <x:c r="Z334" s="16"/>
    </x:row>
    <x:row r="335" ht="15.75" customHeight="1">
      <x:c r="A335" s="16"/>
      <x:c r="B335" s="16"/>
      <x:c r="C335" s="16"/>
      <x:c r="D335" s="22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16"/>
      <x:c r="V335" s="16"/>
      <x:c r="W335" s="16"/>
      <x:c r="X335" s="16"/>
      <x:c r="Y335" s="16"/>
      <x:c r="Z335" s="16"/>
    </x:row>
    <x:row r="336" ht="15.75" customHeight="1">
      <x:c r="A336" s="16"/>
      <x:c r="B336" s="16"/>
      <x:c r="C336" s="16"/>
      <x:c r="D336" s="22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16"/>
      <x:c r="V336" s="16"/>
      <x:c r="W336" s="16"/>
      <x:c r="X336" s="16"/>
      <x:c r="Y336" s="16"/>
      <x:c r="Z336" s="16"/>
    </x:row>
    <x:row r="337" ht="15.75" customHeight="1">
      <x:c r="A337" s="16"/>
      <x:c r="B337" s="16"/>
      <x:c r="C337" s="16"/>
      <x:c r="D337" s="22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/>
      <x:c r="X337" s="16"/>
      <x:c r="Y337" s="16"/>
      <x:c r="Z337" s="16"/>
    </x:row>
    <x:row r="338" ht="15.75" customHeight="1">
      <x:c r="A338" s="16"/>
      <x:c r="B338" s="16"/>
      <x:c r="C338" s="16"/>
      <x:c r="D338" s="22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/>
      <x:c r="W338" s="16"/>
      <x:c r="X338" s="16"/>
      <x:c r="Y338" s="16"/>
      <x:c r="Z338" s="16"/>
    </x:row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E1:I1"/>
    <x:mergeCell ref="J1:N1"/>
  </x:mergeCells>
  <x:conditionalFormatting sqref="E3:N3">
    <x:cfRule type="containsText" dxfId="3" priority="1" operator="containsText" text="OK">
      <x:formula>NOT(ISERROR(SEARCH(("OK"),(E3))))</x:formula>
    </x:cfRule>
  </x:conditionalFormatting>
  <x:conditionalFormatting sqref="E3:N3">
    <x:cfRule type="containsText" dxfId="2" priority="2" operator="containsText" text="ERROR">
      <x:formula>NOT(ISERROR(SEARCH(("ERROR"),(E3))))</x:formula>
    </x:cfRule>
  </x:conditionalFormatting>
  <x:pageMargins left="0.7" right="0.7" top="0.75" bottom="0.75" header="0.3" footer="0.3"/>
  <x:drawing xmlns:r="http://schemas.openxmlformats.org/officeDocument/2006/relationships" r:id="Re803d894210047e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53125" defaultRowHeight="15"/>
  <x:cols>
    <x:col min="1" max="1" width="1.81640625" customWidth="1"/>
    <x:col min="2" max="4" width="15.54296875" customWidth="1"/>
    <x:col min="5" max="9" width="11.54296875" customWidth="1"/>
    <x:col min="10" max="14" width="12.54296875" customWidth="1"/>
    <x:col min="15" max="26" width="9.08984375" customWidth="1"/>
  </x:cols>
  <x:sheetData>
    <x:row r="1" ht="15.75" customHeight="1">
      <x:c r="A1" s="13"/>
      <x:c r="B1" s="14" t="s">
        <x:v>11</x:v>
      </x:c>
      <x:c r="C1" s="13"/>
      <x:c r="D1" s="15"/>
      <x:c r="E1" s="55" t="s">
        <x:v>12</x:v>
      </x:c>
      <x:c r="F1" s="56"/>
      <x:c r="G1" s="56"/>
      <x:c r="H1" s="56"/>
      <x:c r="I1" s="57"/>
      <x:c r="J1" s="58" t="s">
        <x:v>13</x:v>
      </x:c>
      <x:c r="K1" s="56"/>
      <x:c r="L1" s="56"/>
      <x:c r="M1" s="56"/>
      <x:c r="N1" s="57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21" customHeight="1">
      <x:c r="A2" s="13"/>
      <x:c r="B2" s="17" t="s">
        <x:v>14</x:v>
      </x:c>
      <x:c r="C2" s="18"/>
      <x:c r="D2" s="19"/>
      <x:c r="E2" s="20">
        <x:v>2012</x:v>
      </x:c>
      <x:c r="F2" s="20" t="n">
        <x:f t="shared" ref="F2:N2" si="0">+E2+1</x:f>
        <x:v>2013</x:v>
      </x:c>
      <x:c r="G2" s="20">
        <x:f t="shared" si="0"/>
        <x:v>2014</x:v>
      </x:c>
      <x:c r="H2" s="20">
        <x:f t="shared" si="0"/>
        <x:v>2015</x:v>
      </x:c>
      <x:c r="I2" s="20">
        <x:f t="shared" si="0"/>
        <x:v>2016</x:v>
      </x:c>
      <x:c r="J2" s="21">
        <x:f t="shared" si="0"/>
        <x:v>2017</x:v>
      </x:c>
      <x:c r="K2" s="21">
        <x:f t="shared" si="0"/>
        <x:v>2018</x:v>
      </x:c>
      <x:c r="L2" s="21">
        <x:f t="shared" si="0"/>
        <x:v>2019</x:v>
      </x:c>
      <x:c r="M2" s="21">
        <x:f t="shared" si="0"/>
        <x:v>2020</x:v>
      </x:c>
      <x:c r="N2" s="21">
        <x:f t="shared" si="0"/>
        <x:v>2021</x:v>
      </x:c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 ht="15.75" customHeight="1">
      <x:c r="A3" s="16"/>
      <x:c r="B3" s="16" t="s">
        <x:v>15</x:v>
      </x:c>
      <x:c r="C3" s="16"/>
      <x:c r="D3" s="22"/>
      <x:c r="E3" s="23" t="str">
        <x:f t="shared" ref="E3:N3" si="1">IFERROR(IF(ABS(E57)&gt;1,"ERROR","OK"),"OK")</x:f>
        <x:v>OK</x:v>
      </x:c>
      <x:c r="F3" s="23" t="str">
        <x:f t="shared" si="1"/>
        <x:v>OK</x:v>
      </x:c>
      <x:c r="G3" s="23" t="str">
        <x:f t="shared" si="1"/>
        <x:v>OK</x:v>
      </x:c>
      <x:c r="H3" s="23" t="str">
        <x:f t="shared" si="1"/>
        <x:v>OK</x:v>
      </x:c>
      <x:c r="I3" s="23" t="str">
        <x:f t="shared" si="1"/>
        <x:v>OK</x:v>
      </x:c>
      <x:c r="J3" s="23" t="str">
        <x:f t="shared" si="1"/>
        <x:v>OK</x:v>
      </x:c>
      <x:c r="K3" s="23" t="str">
        <x:f t="shared" si="1"/>
        <x:v>OK</x:v>
      </x:c>
      <x:c r="L3" s="23" t="str">
        <x:f t="shared" si="1"/>
        <x:v>OK</x:v>
      </x:c>
      <x:c r="M3" s="23" t="str">
        <x:f t="shared" si="1"/>
        <x:v>OK</x:v>
      </x:c>
      <x:c r="N3" s="23" t="str">
        <x:f t="shared" si="1"/>
        <x:v>OK</x:v>
      </x:c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 ht="15.75" customHeight="1">
      <x:c r="A4" s="16"/>
      <x:c r="B4" s="16"/>
      <x:c r="C4" s="16"/>
      <x:c r="D4" s="22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V4" s="16"/>
      <x:c r="W4" s="16"/>
      <x:c r="X4" s="16"/>
      <x:c r="Y4" s="16"/>
      <x:c r="Z4" s="16"/>
    </x:row>
    <x:row r="5" ht="15.75" customHeight="1">
      <x:c r="A5" s="16"/>
      <x:c r="B5" s="24" t="s">
        <x:v>16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V5" s="16"/>
      <x:c r="W5" s="16"/>
      <x:c r="X5" s="16"/>
      <x:c r="Y5" s="16"/>
      <x:c r="Z5" s="16"/>
    </x:row>
    <x:row r="6" ht="15.75" customHeight="1">
      <x:c r="A6" s="16"/>
      <x:c r="B6" s="25" t="s">
        <x:v>17</x:v>
      </x:c>
      <x:c r="C6" s="16"/>
      <x:c r="D6" s="22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V6" s="16"/>
      <x:c r="W6" s="16"/>
      <x:c r="X6" s="16"/>
      <x:c r="Y6" s="16"/>
      <x:c r="Z6" s="16"/>
    </x:row>
    <x:row r="7" ht="15.75" customHeight="1">
      <x:c r="A7" s="16"/>
      <x:c r="B7" s="16" t="s">
        <x:v>18</x:v>
      </x:c>
      <x:c r="C7" s="25"/>
      <x:c r="D7" s="26"/>
      <x:c r="E7" s="25"/>
      <x:c r="F7" s="27" t="n">
        <x:f t="shared" ref="F7:I7" si="2">F24/E24-1</x:f>
        <x:v>0.15762643740135474</x:v>
      </x:c>
      <x:c r="G7" s="27">
        <x:f t="shared" si="2"/>
        <x:v>0.1122825737174602</x:v>
      </x:c>
      <x:c r="H7" s="27">
        <x:f t="shared" si="2"/>
        <x:v>8.3718451406600947E-2</x:v>
      </x:c>
      <x:c r="I7" s="27">
        <x:f t="shared" si="2"/>
        <x:v>5.9231001608812672E-2</x:v>
      </x:c>
      <x:c r="J7" s="28">
        <x:v>0.06</x:v>
      </x:c>
      <x:c r="K7" s="28">
        <x:v>0.05</x:v>
      </x:c>
      <x:c r="L7" s="28">
        <x:v>0.03</x:v>
      </x:c>
      <x:c r="M7" s="28">
        <x:v>0.02</x:v>
      </x:c>
      <x:c r="N7" s="28">
        <x:v>0.02</x:v>
      </x:c>
      <x:c r="V7" s="16"/>
      <x:c r="W7" s="16"/>
      <x:c r="X7" s="16"/>
      <x:c r="Y7" s="16"/>
      <x:c r="Z7" s="16"/>
    </x:row>
    <x:row r="8" ht="15.75" customHeight="1">
      <x:c r="A8" s="16"/>
      <x:c r="B8" s="16" t="s">
        <x:v>19</x:v>
      </x:c>
      <x:c r="C8" s="16"/>
      <x:c r="D8" s="22"/>
      <x:c r="E8" s="27" t="n">
        <x:f t="shared" ref="E8:I8" si="3">E25/E24</x:f>
        <x:v>0.3825521777917202</x:v>
      </x:c>
      <x:c r="F8" s="27">
        <x:f t="shared" si="3"/>
        <x:v>0.40651728401334619</x:v>
      </x:c>
      <x:c r="G8" s="27">
        <x:f t="shared" si="3"/>
        <x:v>0.37399977159389397</x:v>
      </x:c>
      <x:c r="H8" s="27">
        <x:f t="shared" si="3"/>
        <x:v>0.37412973071708078</x:v>
      </x:c>
      <x:c r="I8" s="27">
        <x:f t="shared" si="3"/>
        <x:v>0.38011036531982062</x:v>
      </x:c>
      <x:c r="J8" s="28">
        <x:v>0.38</x:v>
      </x:c>
      <x:c r="K8" s="28">
        <x:v>0.4</x:v>
      </x:c>
      <x:c r="L8" s="28">
        <x:v>0.42</x:v>
      </x:c>
      <x:c r="M8" s="28">
        <x:v>0.45</x:v>
      </x:c>
      <x:c r="N8" s="28">
        <x:v>0.38</x:v>
      </x:c>
      <x:c r="V8" s="16"/>
      <x:c r="W8" s="16"/>
      <x:c r="X8" s="16"/>
      <x:c r="Y8" s="16"/>
      <x:c r="Z8" s="16"/>
    </x:row>
    <x:row r="9" ht="15.75" customHeight="1">
      <x:c r="A9" s="16"/>
      <x:c r="B9" s="16" t="s">
        <x:v>20</x:v>
      </x:c>
      <x:c r="C9" s="16"/>
      <x:c r="D9" s="22"/>
      <x:c r="E9" s="16" t="n">
        <x:f t="shared" ref="E9:I9" si="4">E28</x:f>
        <x:v>26427</x:v>
      </x:c>
      <x:c r="F9" s="16">
        <x:f t="shared" si="4"/>
        <x:v>22658</x:v>
      </x:c>
      <x:c r="G9" s="16">
        <x:f t="shared" si="4"/>
        <x:v>23872</x:v>
      </x:c>
      <x:c r="H9" s="16">
        <x:f t="shared" si="4"/>
        <x:v>23002</x:v>
      </x:c>
      <x:c r="I9" s="16">
        <x:f t="shared" si="4"/>
        <x:v>25245</x:v>
      </x:c>
      <x:c r="J9" s="29">
        <x:v>30000</x:v>
      </x:c>
      <x:c r="K9" s="29">
        <x:v>30000</x:v>
      </x:c>
      <x:c r="L9" s="29">
        <x:v>30000</x:v>
      </x:c>
      <x:c r="M9" s="29">
        <x:v>30000</x:v>
      </x:c>
      <x:c r="N9" s="29">
        <x:v>30000</x:v>
      </x:c>
      <x:c r="V9" s="16"/>
      <x:c r="W9" s="16"/>
      <x:c r="X9" s="16"/>
      <x:c r="Y9" s="16"/>
      <x:c r="Z9" s="16"/>
    </x:row>
    <x:row r="10" ht="15.75" customHeight="1">
      <x:c r="A10" s="16"/>
      <x:c r="B10" s="16" t="s">
        <x:v>21</x:v>
      </x:c>
      <x:c r="C10" s="16"/>
      <x:c r="D10" s="22"/>
      <x:c r="E10" s="16" t="n">
        <x:f t="shared" ref="E10:I10" si="5">E29</x:f>
        <x:v>10963</x:v>
      </x:c>
      <x:c r="F10" s="16">
        <x:f t="shared" si="5"/>
        <x:v>10125</x:v>
      </x:c>
      <x:c r="G10" s="16">
        <x:f t="shared" si="5"/>
        <x:v>10087</x:v>
      </x:c>
      <x:c r="H10" s="16">
        <x:f t="shared" si="5"/>
        <x:v>11020</x:v>
      </x:c>
      <x:c r="I10" s="16">
        <x:f t="shared" si="5"/>
        <x:v>11412</x:v>
      </x:c>
      <x:c r="J10" s="29">
        <x:v>12000</x:v>
      </x:c>
      <x:c r="K10" s="29">
        <x:v>12000</x:v>
      </x:c>
      <x:c r="L10" s="29">
        <x:v>12000</x:v>
      </x:c>
      <x:c r="M10" s="29">
        <x:v>12000</x:v>
      </x:c>
      <x:c r="N10" s="29">
        <x:v>12000</x:v>
      </x:c>
      <x:c r="V10" s="16"/>
      <x:c r="W10" s="16"/>
      <x:c r="X10" s="16"/>
      <x:c r="Y10" s="16"/>
      <x:c r="Z10" s="16"/>
    </x:row>
    <x:row r="11" ht="15.75" customHeight="1">
      <x:c r="A11" s="16"/>
      <x:c r="B11" s="16" t="s">
        <x:v>22</x:v>
      </x:c>
      <x:c r="C11" s="16"/>
      <x:c r="D11" s="22"/>
      <x:c r="E11" s="27" t="n">
        <x:f t="shared" ref="E11:I11" si="6">E30/E92</x:f>
        <x:v>0.39</x:v>
      </x:c>
      <x:c r="F11" s="27">
        <x:f t="shared" si="6"/>
        <x:v>0.39890109890109893</x:v>
      </x:c>
      <x:c r="G11" s="27">
        <x:f t="shared" si="6"/>
        <x:v>0.4062573789846517</x:v>
      </x:c>
      <x:c r="H11" s="27">
        <x:f t="shared" si="6"/>
        <x:v>0.41209366048075724</x:v>
      </x:c>
      <x:c r="I11" s="27">
        <x:f t="shared" si="6"/>
        <x:v>0.41657578073390927</x:v>
      </x:c>
      <x:c r="J11" s="28">
        <x:v>0.35</x:v>
      </x:c>
      <x:c r="K11" s="28">
        <x:v>0.35</x:v>
      </x:c>
      <x:c r="L11" s="28">
        <x:v>0.35</x:v>
      </x:c>
      <x:c r="M11" s="28">
        <x:v>0.35</x:v>
      </x:c>
      <x:c r="N11" s="28">
        <x:v>0.35</x:v>
      </x:c>
      <x:c r="V11" s="16"/>
      <x:c r="W11" s="16"/>
      <x:c r="X11" s="16"/>
      <x:c r="Y11" s="16"/>
      <x:c r="Z11" s="16"/>
    </x:row>
    <x:row r="12" ht="15.75" customHeight="1">
      <x:c r="A12" s="16"/>
      <x:c r="B12" s="16" t="s">
        <x:v>23</x:v>
      </x:c>
      <x:c r="C12" s="16"/>
      <x:c r="D12" s="22"/>
      <x:c r="E12" s="27" t="n">
        <x:f t="shared" ref="E12:I12" si="7">E101/E98</x:f>
        <x:v>0.05</x:v>
      </x:c>
      <x:c r="F12" s="27">
        <x:f t="shared" si="7"/>
        <x:v>0.05</x:v>
      </x:c>
      <x:c r="G12" s="27">
        <x:f t="shared" si="7"/>
        <x:v>0.03</x:v>
      </x:c>
      <x:c r="H12" s="27">
        <x:f t="shared" si="7"/>
        <x:v>0.03</x:v>
      </x:c>
      <x:c r="I12" s="27">
        <x:f t="shared" si="7"/>
        <x:v>0.03</x:v>
      </x:c>
      <x:c r="J12" s="28">
        <x:v>0.05</x:v>
      </x:c>
      <x:c r="K12" s="28">
        <x:v>0.05</x:v>
      </x:c>
      <x:c r="L12" s="28">
        <x:v>0.05</x:v>
      </x:c>
      <x:c r="M12" s="28">
        <x:v>0.05</x:v>
      </x:c>
      <x:c r="N12" s="28">
        <x:v>0.05</x:v>
      </x:c>
      <x:c r="V12" s="16"/>
      <x:c r="W12" s="16"/>
      <x:c r="X12" s="16"/>
      <x:c r="Y12" s="16"/>
      <x:c r="Z12" s="16"/>
    </x:row>
    <x:row r="13" ht="15.75" customHeight="1">
      <x:c r="A13" s="16"/>
      <x:c r="B13" s="16" t="s">
        <x:v>24</x:v>
      </x:c>
      <x:c r="C13" s="30"/>
      <x:c r="D13" s="31"/>
      <x:c r="E13" s="27" t="n">
        <x:f t="shared" ref="E13:I13" si="8">E35/E33</x:f>
        <x:v>0.31167801892042296</x:v>
      </x:c>
      <x:c r="F13" s="27">
        <x:f t="shared" si="8"/>
        <x:v>0.29180230056592171</x:v>
      </x:c>
      <x:c r="G13" s="27">
        <x:f t="shared" si="8"/>
        <x:v>0.28698850107817436</x:v>
      </x:c>
      <x:c r="H13" s="27">
        <x:f t="shared" si="8"/>
        <x:v>0.2899411500446471</x:v>
      </x:c>
      <x:c r="I13" s="27">
        <x:f t="shared" si="8"/>
        <x:v>0.29121899033183596</x:v>
      </x:c>
      <x:c r="J13" s="28">
        <x:v>0.28000000000000003</x:v>
      </x:c>
      <x:c r="K13" s="28">
        <x:v>0.28000000000000003</x:v>
      </x:c>
      <x:c r="L13" s="28">
        <x:v>0.28000000000000003</x:v>
      </x:c>
      <x:c r="M13" s="28">
        <x:v>0.28000000000000003</x:v>
      </x:c>
      <x:c r="N13" s="28">
        <x:v>0.28000000000000003</x:v>
      </x:c>
      <x:c r="V13" s="16"/>
      <x:c r="W13" s="16"/>
      <x:c r="X13" s="16"/>
      <x:c r="Y13" s="16"/>
      <x:c r="Z13" s="16"/>
    </x:row>
    <x:row r="14" ht="15.75" customHeight="1">
      <x:c r="A14" s="16"/>
      <x:c r="B14" s="25" t="s">
        <x:v>25</x:v>
      </x:c>
      <x:c r="C14" s="16"/>
      <x:c r="D14" s="22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V14" s="16"/>
      <x:c r="W14" s="16"/>
      <x:c r="X14" s="16"/>
      <x:c r="Y14" s="16"/>
      <x:c r="Z14" s="16"/>
    </x:row>
    <x:row r="15" ht="15.75" customHeight="1">
      <x:c r="A15" s="16"/>
      <x:c r="B15" s="16" t="s">
        <x:v>26</x:v>
      </x:c>
      <x:c r="C15" s="16"/>
      <x:c r="D15" s="32"/>
      <x:c r="E15" s="16" t="n">
        <x:f t="shared" ref="E15:I15" si="9">E42/E24*365</x:f>
        <x:v>18.25</x:v>
      </x:c>
      <x:c r="F15" s="16">
        <x:f t="shared" si="9"/>
        <x:v>18.25</x:v>
      </x:c>
      <x:c r="G15" s="16">
        <x:f t="shared" si="9"/>
        <x:v>18.25</x:v>
      </x:c>
      <x:c r="H15" s="16">
        <x:f t="shared" si="9"/>
        <x:v>18.25</x:v>
      </x:c>
      <x:c r="I15" s="16">
        <x:f t="shared" si="9"/>
        <x:v>18.25</x:v>
      </x:c>
      <x:c r="J15" s="29">
        <x:v>20</x:v>
      </x:c>
      <x:c r="K15" s="29">
        <x:v>22</x:v>
      </x:c>
      <x:c r="L15" s="29">
        <x:v>23</x:v>
      </x:c>
      <x:c r="M15" s="29">
        <x:v>25</x:v>
      </x:c>
      <x:c r="N15" s="29">
        <x:v>20</x:v>
      </x:c>
      <x:c r="V15" s="16"/>
      <x:c r="W15" s="16"/>
      <x:c r="X15" s="16"/>
      <x:c r="Y15" s="16"/>
      <x:c r="Z15" s="16"/>
    </x:row>
    <x:row r="16" ht="15.75" customHeight="1">
      <x:c r="A16" s="16"/>
      <x:c r="B16" s="16" t="s">
        <x:v>27</x:v>
      </x:c>
      <x:c r="C16" s="16"/>
      <x:c r="D16" s="32"/>
      <x:c r="E16" s="16" t="n">
        <x:f t="shared" ref="E16:I16" si="10">E43/E25*365</x:f>
        <x:v>73</x:v>
      </x:c>
      <x:c r="F16" s="16">
        <x:f t="shared" si="10"/>
        <x:v>73</x:v>
      </x:c>
      <x:c r="G16" s="16">
        <x:f t="shared" si="10"/>
        <x:v>73</x:v>
      </x:c>
      <x:c r="H16" s="16">
        <x:f t="shared" si="10"/>
        <x:v>72.177526570774049</x:v>
      </x:c>
      <x:c r="I16" s="16">
        <x:f t="shared" si="10"/>
        <x:v>72.235735473739325</x:v>
      </x:c>
      <x:c r="J16" s="29">
        <x:v>75</x:v>
      </x:c>
      <x:c r="K16" s="29">
        <x:v>80</x:v>
      </x:c>
      <x:c r="L16" s="29">
        <x:v>85</x:v>
      </x:c>
      <x:c r="M16" s="29">
        <x:v>90</x:v>
      </x:c>
      <x:c r="N16" s="29">
        <x:v>75</x:v>
      </x:c>
      <x:c r="V16" s="16"/>
      <x:c r="W16" s="16"/>
      <x:c r="X16" s="16"/>
      <x:c r="Y16" s="16"/>
      <x:c r="Z16" s="16"/>
    </x:row>
    <x:row r="17" ht="15.75" customHeight="1">
      <x:c r="A17" s="16"/>
      <x:c r="B17" s="16" t="s">
        <x:v>28</x:v>
      </x:c>
      <x:c r="C17" s="16"/>
      <x:c r="D17" s="32"/>
      <x:c r="E17" s="16" t="n">
        <x:f t="shared" ref="E17:I17" si="11">E48/E25*365</x:f>
        <x:v>36.5</x:v>
      </x:c>
      <x:c r="F17" s="16">
        <x:f t="shared" si="11"/>
        <x:v>36.5</x:v>
      </x:c>
      <x:c r="G17" s="16">
        <x:f t="shared" si="11"/>
        <x:v>36.5</x:v>
      </x:c>
      <x:c r="H17" s="16">
        <x:f t="shared" si="11"/>
        <x:v>36.088763285387024</x:v>
      </x:c>
      <x:c r="I17" s="16">
        <x:f t="shared" si="11"/>
        <x:v>36.117867736869663</x:v>
      </x:c>
      <x:c r="J17" s="29">
        <x:v>35</x:v>
      </x:c>
      <x:c r="K17" s="29">
        <x:v>30</x:v>
      </x:c>
      <x:c r="L17" s="29">
        <x:v>25</x:v>
      </x:c>
      <x:c r="M17" s="29">
        <x:v>20</x:v>
      </x:c>
      <x:c r="N17" s="29">
        <x:v>35</x:v>
      </x:c>
      <x:c r="V17" s="16"/>
      <x:c r="W17" s="16"/>
      <x:c r="X17" s="16"/>
      <x:c r="Y17" s="16"/>
      <x:c r="Z17" s="16"/>
    </x:row>
    <x:row r="18" ht="15.75" customHeight="1">
      <x:c r="A18" s="16"/>
      <x:c r="B18" s="16" t="s">
        <x:v>29</x:v>
      </x:c>
      <x:c r="C18" s="16"/>
      <x:c r="D18" s="22"/>
      <x:c r="E18" s="16" t="n">
        <x:f t="shared" ref="E18:I18" si="12">E68</x:f>
        <x:v>15000</x:v>
      </x:c>
      <x:c r="F18" s="16">
        <x:f t="shared" si="12"/>
        <x:v>15000</x:v>
      </x:c>
      <x:c r="G18" s="16">
        <x:f t="shared" si="12"/>
        <x:v>15000</x:v>
      </x:c>
      <x:c r="H18" s="16">
        <x:f t="shared" si="12"/>
        <x:v>15000</x:v>
      </x:c>
      <x:c r="I18" s="16">
        <x:f t="shared" si="12"/>
        <x:v>15000</x:v>
      </x:c>
      <x:c r="J18" s="29">
        <x:v>15000</x:v>
      </x:c>
      <x:c r="K18" s="29">
        <x:v>10000</x:v>
      </x:c>
      <x:c r="L18" s="29">
        <x:v>25000</x:v>
      </x:c>
      <x:c r="M18" s="29">
        <x:v>10000</x:v>
      </x:c>
      <x:c r="N18" s="29">
        <x:v>15000</x:v>
      </x:c>
      <x:c r="V18" s="16"/>
      <x:c r="W18" s="16"/>
      <x:c r="X18" s="16"/>
      <x:c r="Y18" s="16"/>
      <x:c r="Z18" s="16"/>
    </x:row>
    <x:row r="19" ht="15.75" customHeight="1">
      <x:c r="A19" s="16"/>
      <x:c r="B19" s="16" t="s">
        <x:v>30</x:v>
      </x:c>
      <x:c r="C19" s="16"/>
      <x:c r="D19" s="22"/>
      <x:c r="E19" s="16" t="n">
        <x:f t="shared" ref="E19:I19" si="13">E99</x:f>
        <x:v>0</x:v>
      </x:c>
      <x:c r="F19" s="16">
        <x:f t="shared" si="13"/>
        <x:v>0</x:v>
      </x:c>
      <x:c r="G19" s="16">
        <x:f t="shared" si="13"/>
        <x:v>-20000</x:v>
      </x:c>
      <x:c r="H19" s="16">
        <x:f t="shared" si="13"/>
        <x:v>0</x:v>
      </x:c>
      <x:c r="I19" s="16">
        <x:f t="shared" si="13"/>
        <x:v>0</x:v>
      </x:c>
      <x:c r="J19" s="29">
        <x:v>0</x:v>
      </x:c>
      <x:c r="K19" s="29">
        <x:v>0</x:v>
      </x:c>
      <x:c r="L19" s="29">
        <x:v>-20000</x:v>
      </x:c>
      <x:c r="M19" s="29">
        <x:v>0</x:v>
      </x:c>
      <x:c r="N19" s="29">
        <x:v>0</x:v>
      </x:c>
      <x:c r="V19" s="16"/>
      <x:c r="W19" s="16"/>
      <x:c r="X19" s="16"/>
      <x:c r="Y19" s="16"/>
      <x:c r="Z19" s="16"/>
    </x:row>
    <x:row r="20" ht="15.75" customHeight="1">
      <x:c r="A20" s="16"/>
      <x:c r="B20" s="16" t="s">
        <x:v>31</x:v>
      </x:c>
      <x:c r="C20" s="16"/>
      <x:c r="D20" s="22"/>
      <x:c r="E20" s="16" t="n">
        <x:f t="shared" ref="E20:I20" si="14">E73</x:f>
        <x:v>170000</x:v>
      </x:c>
      <x:c r="F20" s="16">
        <x:f t="shared" si="14"/>
        <x:v>0</x:v>
      </x:c>
      <x:c r="G20" s="16">
        <x:f t="shared" si="14"/>
        <x:v>0</x:v>
      </x:c>
      <x:c r="H20" s="16">
        <x:f t="shared" si="14"/>
        <x:v>0</x:v>
      </x:c>
      <x:c r="I20" s="16">
        <x:f t="shared" si="14"/>
        <x:v>0</x:v>
      </x:c>
      <x:c r="J20" s="29">
        <x:v>0</x:v>
      </x:c>
      <x:c r="K20" s="29">
        <x:v>0</x:v>
      </x:c>
      <x:c r="L20" s="29">
        <x:v>0</x:v>
      </x:c>
      <x:c r="M20" s="29">
        <x:v>-150000</x:v>
      </x:c>
      <x:c r="N20" s="29">
        <x:v>0</x:v>
      </x:c>
      <x:c r="V20" s="16"/>
      <x:c r="W20" s="16"/>
      <x:c r="X20" s="16"/>
      <x:c r="Y20" s="16"/>
      <x:c r="Z20" s="16"/>
    </x:row>
    <x:row r="21" ht="15.75" customHeight="1">
      <x:c r="A21" s="16"/>
      <x:c r="B21" s="16"/>
      <x:c r="C21" s="16"/>
      <x:c r="D21" s="22"/>
      <x:c r="E21" s="16"/>
      <x:c r="F21" s="16"/>
      <x:c r="G21" s="16"/>
      <x:c r="H21" s="16"/>
      <x:c r="I21" s="16"/>
      <x:c r="J21" s="29"/>
      <x:c r="K21" s="29"/>
      <x:c r="L21" s="29"/>
      <x:c r="M21" s="29"/>
      <x:c r="N21" s="29"/>
      <x:c r="V21" s="16"/>
      <x:c r="W21" s="16"/>
      <x:c r="X21" s="16"/>
      <x:c r="Y21" s="16"/>
      <x:c r="Z21" s="16"/>
    </x:row>
    <x:row r="22" ht="15.75" customHeight="1">
      <x:c r="A22" s="16"/>
      <x:c r="B22" s="16"/>
      <x:c r="C22" s="16"/>
      <x:c r="D22" s="22"/>
      <x:c r="E22" s="16"/>
      <x:c r="F22" s="16"/>
      <x:c r="G22" s="16"/>
      <x:c r="H22" s="16"/>
      <x:c r="I22" s="16"/>
      <x:c r="J22" s="29"/>
      <x:c r="K22" s="29"/>
      <x:c r="L22" s="29"/>
      <x:c r="M22" s="29"/>
      <x:c r="N22" s="29"/>
      <x:c r="V22" s="16"/>
      <x:c r="W22" s="16"/>
      <x:c r="X22" s="16"/>
      <x:c r="Y22" s="16"/>
      <x:c r="Z22" s="16"/>
    </x:row>
    <x:row r="23" ht="15.75" customHeight="1">
      <x:c r="A23" s="16"/>
      <x:c r="B23" s="24" t="s">
        <x:v>32</x:v>
      </x:c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V23" s="16"/>
      <x:c r="W23" s="16"/>
      <x:c r="X23" s="16"/>
      <x:c r="Y23" s="16"/>
      <x:c r="Z23" s="16"/>
    </x:row>
    <x:row r="24" ht="15.75" customHeight="1">
      <x:c r="A24" s="16"/>
      <x:c r="B24" s="25" t="s">
        <x:v>33</x:v>
      </x:c>
      <x:c r="C24" s="25"/>
      <x:c r="D24" s="26"/>
      <x:c r="E24" s="33">
        <x:v>102007</x:v>
      </x:c>
      <x:c r="F24" s="33">
        <x:v>118086</x:v>
      </x:c>
      <x:c r="G24" s="33">
        <x:v>131345</x:v>
      </x:c>
      <x:c r="H24" s="33">
        <x:v>142341</x:v>
      </x:c>
      <x:c r="I24" s="33">
        <x:v>150772</x:v>
      </x:c>
      <x:c r="J24" s="25" t="n">
        <x:f t="shared" ref="J24:N24" si="15">I24*(1+J7)</x:f>
        <x:v>159818.32</x:v>
      </x:c>
      <x:c r="K24" s="25">
        <x:f t="shared" si="15"/>
        <x:v>167809.236</x:v>
      </x:c>
      <x:c r="L24" s="25">
        <x:f t="shared" si="15"/>
        <x:v>172843.51308</x:v>
      </x:c>
      <x:c r="M24" s="25">
        <x:f t="shared" si="15"/>
        <x:v>176300.38334160001</x:v>
      </x:c>
      <x:c r="N24" s="25">
        <x:f t="shared" si="15"/>
        <x:v>179826.39100843202</x:v>
      </x:c>
      <x:c r="V24" s="16"/>
      <x:c r="W24" s="16"/>
      <x:c r="X24" s="16"/>
      <x:c r="Y24" s="16"/>
      <x:c r="Z24" s="16"/>
    </x:row>
    <x:row r="25" ht="15.75" customHeight="1">
      <x:c r="A25" s="16"/>
      <x:c r="B25" s="16" t="s">
        <x:v>34</x:v>
      </x:c>
      <x:c r="C25" s="16"/>
      <x:c r="D25" s="22"/>
      <x:c r="E25" s="29">
        <x:v>39023</x:v>
      </x:c>
      <x:c r="F25" s="29">
        <x:v>48004</x:v>
      </x:c>
      <x:c r="G25" s="29">
        <x:v>49123</x:v>
      </x:c>
      <x:c r="H25" s="29">
        <x:v>53253.999999999993</x:v>
      </x:c>
      <x:c r="I25" s="29">
        <x:v>57309.999999999993</x:v>
      </x:c>
      <x:c r="J25" s="34" t="n">
        <x:f t="shared" ref="J25:N25" si="16">J24*J8</x:f>
        <x:v>60730.9616</x:v>
      </x:c>
      <x:c r="K25" s="34">
        <x:f t="shared" si="16"/>
        <x:v>67123.694400000008</x:v>
      </x:c>
      <x:c r="L25" s="34">
        <x:f t="shared" si="16"/>
        <x:v>72594.275493599998</x:v>
      </x:c>
      <x:c r="M25" s="34">
        <x:f t="shared" si="16"/>
        <x:v>79335.172503720009</x:v>
      </x:c>
      <x:c r="N25" s="34">
        <x:f t="shared" si="16"/>
        <x:v>68334.02858320417</x:v>
      </x:c>
      <x:c r="V25" s="16"/>
      <x:c r="W25" s="16"/>
      <x:c r="X25" s="16"/>
      <x:c r="Y25" s="16"/>
      <x:c r="Z25" s="16"/>
    </x:row>
    <x:row r="26" ht="15.75" customHeight="1">
      <x:c r="A26" s="16"/>
      <x:c r="B26" s="35" t="s">
        <x:v>35</x:v>
      </x:c>
      <x:c r="C26" s="35"/>
      <x:c r="D26" s="36"/>
      <x:c r="E26" s="35" t="n">
        <x:f t="shared" ref="E26:N26" si="17">E24-E25</x:f>
        <x:v>62984</x:v>
      </x:c>
      <x:c r="F26" s="35">
        <x:f t="shared" si="17"/>
        <x:v>70082</x:v>
      </x:c>
      <x:c r="G26" s="35">
        <x:f t="shared" si="17"/>
        <x:v>82222</x:v>
      </x:c>
      <x:c r="H26" s="35">
        <x:f t="shared" si="17"/>
        <x:v>89087</x:v>
      </x:c>
      <x:c r="I26" s="35">
        <x:f t="shared" si="17"/>
        <x:v>93462</x:v>
      </x:c>
      <x:c r="J26" s="35">
        <x:f t="shared" si="17"/>
        <x:v>99087.358399999997</x:v>
      </x:c>
      <x:c r="K26" s="35">
        <x:f t="shared" si="17"/>
        <x:v>100685.5416</x:v>
      </x:c>
      <x:c r="L26" s="35">
        <x:f t="shared" si="17"/>
        <x:v>100249.23758640001</x:v>
      </x:c>
      <x:c r="M26" s="35">
        <x:f t="shared" si="17"/>
        <x:v>96965.210837880004</x:v>
      </x:c>
      <x:c r="N26" s="35">
        <x:f t="shared" si="17"/>
        <x:v>111492.36242522785</x:v>
      </x:c>
      <x:c r="V26" s="16"/>
      <x:c r="W26" s="16"/>
      <x:c r="X26" s="16"/>
      <x:c r="Y26" s="16"/>
      <x:c r="Z26" s="16"/>
    </x:row>
    <x:row r="27" ht="15.75" customHeight="1">
      <x:c r="A27" s="16"/>
      <x:c r="B27" s="25" t="s">
        <x:v>36</x:v>
      </x:c>
      <x:c r="C27" s="25"/>
      <x:c r="D27" s="26"/>
      <x:c r="E27" s="33"/>
      <x:c r="F27" s="33"/>
      <x:c r="G27" s="33"/>
      <x:c r="H27" s="33"/>
      <x:c r="I27" s="33"/>
      <x:c r="J27" s="25"/>
      <x:c r="K27" s="25"/>
      <x:c r="L27" s="25"/>
      <x:c r="M27" s="25"/>
      <x:c r="N27" s="25"/>
      <x:c r="V27" s="16"/>
      <x:c r="W27" s="16"/>
      <x:c r="X27" s="16"/>
      <x:c r="Y27" s="16"/>
      <x:c r="Z27" s="16"/>
    </x:row>
    <x:row r="28" ht="15.75" customHeight="1">
      <x:c r="A28" s="16"/>
      <x:c r="B28" s="16" t="s">
        <x:v>37</x:v>
      </x:c>
      <x:c r="C28" s="16"/>
      <x:c r="D28" s="22"/>
      <x:c r="E28" s="29">
        <x:v>26427</x:v>
      </x:c>
      <x:c r="F28" s="29">
        <x:v>22658</x:v>
      </x:c>
      <x:c r="G28" s="29">
        <x:v>23872</x:v>
      </x:c>
      <x:c r="H28" s="29">
        <x:v>23002</x:v>
      </x:c>
      <x:c r="I28" s="29">
        <x:v>25245</x:v>
      </x:c>
      <x:c r="J28" s="16" t="n">
        <x:f t="shared" ref="J28:N28" si="18">J9</x:f>
        <x:v>30000</x:v>
      </x:c>
      <x:c r="K28" s="16">
        <x:f t="shared" si="18"/>
        <x:v>30000</x:v>
      </x:c>
      <x:c r="L28" s="16">
        <x:f t="shared" si="18"/>
        <x:v>30000</x:v>
      </x:c>
      <x:c r="M28" s="16">
        <x:f t="shared" si="18"/>
        <x:v>30000</x:v>
      </x:c>
      <x:c r="N28" s="16">
        <x:f t="shared" si="18"/>
        <x:v>30000</x:v>
      </x:c>
      <x:c r="V28" s="16"/>
      <x:c r="W28" s="16"/>
      <x:c r="X28" s="16"/>
      <x:c r="Y28" s="16"/>
      <x:c r="Z28" s="16"/>
    </x:row>
    <x:row r="29" ht="15.75" customHeight="1">
      <x:c r="A29" s="16"/>
      <x:c r="B29" s="16" t="s">
        <x:v>38</x:v>
      </x:c>
      <x:c r="C29" s="16"/>
      <x:c r="D29" s="22"/>
      <x:c r="E29" s="29">
        <x:v>10963</x:v>
      </x:c>
      <x:c r="F29" s="29">
        <x:v>10125</x:v>
      </x:c>
      <x:c r="G29" s="29">
        <x:v>10087</x:v>
      </x:c>
      <x:c r="H29" s="29">
        <x:v>11020</x:v>
      </x:c>
      <x:c r="I29" s="29">
        <x:v>11412</x:v>
      </x:c>
      <x:c r="J29" s="16" t="n">
        <x:f t="shared" ref="J29:N29" si="19">J10</x:f>
        <x:v>12000</x:v>
      </x:c>
      <x:c r="K29" s="16">
        <x:f t="shared" si="19"/>
        <x:v>12000</x:v>
      </x:c>
      <x:c r="L29" s="16">
        <x:f t="shared" si="19"/>
        <x:v>12000</x:v>
      </x:c>
      <x:c r="M29" s="16">
        <x:f t="shared" si="19"/>
        <x:v>12000</x:v>
      </x:c>
      <x:c r="N29" s="16">
        <x:f t="shared" si="19"/>
        <x:v>12000</x:v>
      </x:c>
      <x:c r="V29" s="16"/>
      <x:c r="W29" s="16"/>
      <x:c r="X29" s="16"/>
      <x:c r="Y29" s="16"/>
      <x:c r="Z29" s="16"/>
    </x:row>
    <x:row r="30" ht="15.75" customHeight="1">
      <x:c r="A30" s="16"/>
      <x:c r="B30" s="16" t="s">
        <x:v>39</x:v>
      </x:c>
      <x:c r="C30" s="16"/>
      <x:c r="D30" s="22"/>
      <x:c r="E30" s="29">
        <x:v>19500</x:v>
      </x:c>
      <x:c r="F30" s="29">
        <x:v>18150</x:v>
      </x:c>
      <x:c r="G30" s="29">
        <x:v>17205</x:v>
      </x:c>
      <x:c r="H30" s="29">
        <x:v>16543.5</x:v>
      </x:c>
      <x:c r="I30" s="29">
        <x:v>16080.449999999999</x:v>
      </x:c>
      <x:c r="J30" s="16" t="n">
        <x:f t="shared" ref="J30:N30" si="20">J94</x:f>
        <x:v>13132.3675</x:v>
      </x:c>
      <x:c r="K30" s="16">
        <x:f t="shared" si="20"/>
        <x:v>13786.038875</x:v>
      </x:c>
      <x:c r="L30" s="16">
        <x:f t="shared" si="20"/>
        <x:v>12460.925268750001</x:v>
      </x:c>
      <x:c r="M30" s="16">
        <x:f t="shared" si="20"/>
        <x:v>16849.601424687498</x:v>
      </x:c>
      <x:c r="N30" s="16">
        <x:f t="shared" si="20"/>
        <x:v>14452.240926046874</x:v>
      </x:c>
      <x:c r="V30" s="16"/>
      <x:c r="W30" s="16"/>
      <x:c r="X30" s="16"/>
      <x:c r="Y30" s="16"/>
      <x:c r="Z30" s="16"/>
    </x:row>
    <x:row r="31" ht="15.75" customHeight="1">
      <x:c r="A31" s="16"/>
      <x:c r="B31" s="37" t="s">
        <x:v>40</x:v>
      </x:c>
      <x:c r="C31" s="37"/>
      <x:c r="D31" s="38"/>
      <x:c r="E31" s="39">
        <x:v>2500</x:v>
      </x:c>
      <x:c r="F31" s="39">
        <x:v>2500</x:v>
      </x:c>
      <x:c r="G31" s="39">
        <x:v>1500</x:v>
      </x:c>
      <x:c r="H31" s="39">
        <x:v>900</x:v>
      </x:c>
      <x:c r="I31" s="39">
        <x:v>900</x:v>
      </x:c>
      <x:c r="J31" s="37" t="n">
        <x:f t="shared" ref="J31:N31" si="21">J101</x:f>
        <x:v>1500</x:v>
      </x:c>
      <x:c r="K31" s="37">
        <x:f t="shared" si="21"/>
        <x:v>1500</x:v>
      </x:c>
      <x:c r="L31" s="37">
        <x:f t="shared" si="21"/>
        <x:v>1500</x:v>
      </x:c>
      <x:c r="M31" s="37">
        <x:f t="shared" si="21"/>
        <x:v>500</x:v>
      </x:c>
      <x:c r="N31" s="37">
        <x:f t="shared" si="21"/>
        <x:v>500</x:v>
      </x:c>
      <x:c r="V31" s="16"/>
      <x:c r="W31" s="16"/>
      <x:c r="X31" s="16"/>
      <x:c r="Y31" s="16"/>
      <x:c r="Z31" s="16"/>
    </x:row>
    <x:row r="32" ht="15.75" customHeight="1">
      <x:c r="A32" s="16"/>
      <x:c r="B32" s="25" t="s">
        <x:v>41</x:v>
      </x:c>
      <x:c r="C32" s="16"/>
      <x:c r="D32" s="22"/>
      <x:c r="E32" s="25" t="n">
        <x:f t="shared" ref="E32:N32" si="22">SUM(E28:E31)</x:f>
        <x:v>59390</x:v>
      </x:c>
      <x:c r="F32" s="25">
        <x:f t="shared" si="22"/>
        <x:v>53433</x:v>
      </x:c>
      <x:c r="G32" s="25">
        <x:f t="shared" si="22"/>
        <x:v>52664</x:v>
      </x:c>
      <x:c r="H32" s="25">
        <x:f t="shared" si="22"/>
        <x:v>51465.5</x:v>
      </x:c>
      <x:c r="I32" s="25">
        <x:f t="shared" si="22"/>
        <x:v>53637.45</x:v>
      </x:c>
      <x:c r="J32" s="25">
        <x:f t="shared" si="22"/>
        <x:v>56632.3675</x:v>
      </x:c>
      <x:c r="K32" s="25">
        <x:f t="shared" si="22"/>
        <x:v>57286.038874999998</x:v>
      </x:c>
      <x:c r="L32" s="25">
        <x:f t="shared" si="22"/>
        <x:v>55960.925268749997</x:v>
      </x:c>
      <x:c r="M32" s="25">
        <x:f t="shared" si="22"/>
        <x:v>59349.601424687498</x:v>
      </x:c>
      <x:c r="N32" s="25">
        <x:f t="shared" si="22"/>
        <x:v>56952.24092604687</x:v>
      </x:c>
      <x:c r="V32" s="16"/>
      <x:c r="W32" s="16"/>
      <x:c r="X32" s="16"/>
      <x:c r="Y32" s="16"/>
      <x:c r="Z32" s="16"/>
    </x:row>
    <x:row r="33" ht="15.75" customHeight="1">
      <x:c r="A33" s="16"/>
      <x:c r="B33" s="35" t="s">
        <x:v>42</x:v>
      </x:c>
      <x:c r="C33" s="35"/>
      <x:c r="D33" s="36"/>
      <x:c r="E33" s="35" t="n">
        <x:f t="shared" ref="E33:N33" si="23">E26-E32</x:f>
        <x:v>3594</x:v>
      </x:c>
      <x:c r="F33" s="35">
        <x:f t="shared" si="23"/>
        <x:v>16649</x:v>
      </x:c>
      <x:c r="G33" s="35">
        <x:f t="shared" si="23"/>
        <x:v>29558</x:v>
      </x:c>
      <x:c r="H33" s="35">
        <x:f t="shared" si="23"/>
        <x:v>37621.5</x:v>
      </x:c>
      <x:c r="I33" s="35">
        <x:f t="shared" si="23"/>
        <x:v>39824.550000000003</x:v>
      </x:c>
      <x:c r="J33" s="35">
        <x:f t="shared" si="23"/>
        <x:v>42454.990899999997</x:v>
      </x:c>
      <x:c r="K33" s="35">
        <x:f t="shared" si="23"/>
        <x:v>43399.502724999998</x:v>
      </x:c>
      <x:c r="L33" s="35">
        <x:f t="shared" si="23"/>
        <x:v>44288.312317650008</x:v>
      </x:c>
      <x:c r="M33" s="35">
        <x:f t="shared" si="23"/>
        <x:v>37615.609413192506</x:v>
      </x:c>
      <x:c r="N33" s="35">
        <x:f t="shared" si="23"/>
        <x:v>54540.121499180983</x:v>
      </x:c>
      <x:c r="V33" s="16"/>
      <x:c r="W33" s="16"/>
      <x:c r="X33" s="16"/>
      <x:c r="Y33" s="16"/>
      <x:c r="Z33" s="16"/>
    </x:row>
    <x:row r="34" ht="15.75" customHeight="1">
      <x:c r="A34" s="16"/>
      <x:c r="B34" s="25"/>
      <x:c r="C34" s="25"/>
      <x:c r="D34" s="26"/>
      <x:c r="E34" s="33"/>
      <x:c r="F34" s="33"/>
      <x:c r="G34" s="33"/>
      <x:c r="H34" s="33"/>
      <x:c r="I34" s="33"/>
      <x:c r="J34" s="25"/>
      <x:c r="K34" s="25"/>
      <x:c r="L34" s="25"/>
      <x:c r="M34" s="25"/>
      <x:c r="N34" s="25"/>
      <x:c r="V34" s="16"/>
      <x:c r="W34" s="16"/>
      <x:c r="X34" s="16"/>
      <x:c r="Y34" s="16"/>
      <x:c r="Z34" s="16"/>
    </x:row>
    <x:row r="35" ht="15.75" customHeight="1">
      <x:c r="A35" s="16"/>
      <x:c r="B35" s="16" t="s">
        <x:v>43</x:v>
      </x:c>
      <x:c r="C35" s="16"/>
      <x:c r="D35" s="22"/>
      <x:c r="E35" s="29">
        <x:v>1120.1708000000001</x:v>
      </x:c>
      <x:c r="F35" s="29">
        <x:v>4858.2165021220308</x:v>
      </x:c>
      <x:c r="G35" s="29">
        <x:v>8482.8061148686775</x:v>
      </x:c>
      <x:c r="H35" s="29">
        <x:v>10908.02097640469</x:v>
      </x:c>
      <x:c r="I35" s="29">
        <x:v>11597.665241419718</x:v>
      </x:c>
      <x:c r="J35" s="34" t="n">
        <x:f t="shared" ref="J35:N35" si="24">J33*J13</x:f>
        <x:v>11887.397452000001</x:v>
      </x:c>
      <x:c r="K35" s="34">
        <x:f t="shared" si="24"/>
        <x:v>12151.860763000001</x:v>
      </x:c>
      <x:c r="L35" s="34">
        <x:f t="shared" si="24"/>
        <x:v>12400.727448942003</x:v>
      </x:c>
      <x:c r="M35" s="34">
        <x:f t="shared" si="24"/>
        <x:v>10532.370635693902</x:v>
      </x:c>
      <x:c r="N35" s="34">
        <x:f t="shared" si="24"/>
        <x:v>15271.234019770676</x:v>
      </x:c>
      <x:c r="V35" s="16"/>
      <x:c r="W35" s="16"/>
      <x:c r="X35" s="16"/>
      <x:c r="Y35" s="16"/>
      <x:c r="Z35" s="16"/>
    </x:row>
    <x:row r="36" ht="15.75" customHeight="1">
      <x:c r="A36" s="16"/>
      <x:c r="B36" s="40" t="s">
        <x:v>44</x:v>
      </x:c>
      <x:c r="C36" s="40"/>
      <x:c r="D36" s="41"/>
      <x:c r="E36" s="40" t="n">
        <x:f t="shared" ref="E36:N36" si="25">E33-E35</x:f>
        <x:v>2473.8292</x:v>
      </x:c>
      <x:c r="F36" s="40">
        <x:f t="shared" si="25"/>
        <x:v>11790.783497877968</x:v>
      </x:c>
      <x:c r="G36" s="40">
        <x:f t="shared" si="25"/>
        <x:v>21075.193885131324</x:v>
      </x:c>
      <x:c r="H36" s="40">
        <x:f t="shared" si="25"/>
        <x:v>26713.479023595311</x:v>
      </x:c>
      <x:c r="I36" s="40">
        <x:f t="shared" si="25"/>
        <x:v>28226.884758580287</x:v>
      </x:c>
      <x:c r="J36" s="40">
        <x:f t="shared" si="25"/>
        <x:v>30567.593447999996</x:v>
      </x:c>
      <x:c r="K36" s="40">
        <x:f t="shared" si="25"/>
        <x:v>31247.641961999998</x:v>
      </x:c>
      <x:c r="L36" s="40">
        <x:f t="shared" si="25"/>
        <x:v>31887.584868708007</x:v>
      </x:c>
      <x:c r="M36" s="40">
        <x:f t="shared" si="25"/>
        <x:v>27083.238777498605</x:v>
      </x:c>
      <x:c r="N36" s="40">
        <x:f t="shared" si="25"/>
        <x:v>39268.887479410303</x:v>
      </x:c>
      <x:c r="V36" s="16"/>
      <x:c r="W36" s="16"/>
      <x:c r="X36" s="16"/>
      <x:c r="Y36" s="16"/>
      <x:c r="Z36" s="16"/>
    </x:row>
    <x:row r="37" ht="15.75" customHeight="1">
      <x:c r="A37" s="16"/>
      <x:c r="B37" s="16"/>
      <x:c r="C37" s="16"/>
      <x:c r="D37" s="22"/>
      <x:c r="E37" s="29"/>
      <x:c r="F37" s="29"/>
      <x:c r="G37" s="29"/>
      <x:c r="H37" s="29"/>
      <x:c r="I37" s="29"/>
      <x:c r="J37" s="16"/>
      <x:c r="K37" s="16"/>
      <x:c r="L37" s="16"/>
      <x:c r="M37" s="16"/>
      <x:c r="N37" s="16"/>
      <x:c r="V37" s="16"/>
      <x:c r="W37" s="16"/>
      <x:c r="X37" s="16"/>
      <x:c r="Y37" s="16"/>
      <x:c r="Z37" s="16"/>
    </x:row>
    <x:row r="38" ht="15.75" customHeight="1">
      <x:c r="A38" s="16"/>
      <x:c r="B38" s="16"/>
      <x:c r="C38" s="16"/>
      <x:c r="D38" s="22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V38" s="16"/>
      <x:c r="W38" s="16"/>
      <x:c r="X38" s="16"/>
      <x:c r="Y38" s="16"/>
      <x:c r="Z38" s="16"/>
    </x:row>
    <x:row r="39" ht="15.75" customHeight="1">
      <x:c r="A39" s="16"/>
      <x:c r="B39" s="24" t="s">
        <x:v>25</x:v>
      </x:c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V39" s="16"/>
      <x:c r="W39" s="16"/>
      <x:c r="X39" s="16"/>
      <x:c r="Y39" s="16"/>
      <x:c r="Z39" s="16"/>
    </x:row>
    <x:row r="40" ht="15.75" customHeight="1">
      <x:c r="A40" s="16"/>
      <x:c r="B40" s="25" t="s">
        <x:v>45</x:v>
      </x:c>
      <x:c r="C40" s="16"/>
      <x:c r="D40" s="22"/>
      <x:c r="E40" s="29"/>
      <x:c r="F40" s="29"/>
      <x:c r="G40" s="29"/>
      <x:c r="H40" s="29"/>
      <x:c r="I40" s="29"/>
      <x:c r="J40" s="16"/>
      <x:c r="K40" s="16"/>
      <x:c r="L40" s="16"/>
      <x:c r="M40" s="16"/>
      <x:c r="N40" s="16"/>
      <x:c r="V40" s="16"/>
      <x:c r="W40" s="16"/>
      <x:c r="X40" s="16"/>
      <x:c r="Y40" s="16"/>
      <x:c r="Z40" s="16"/>
    </x:row>
    <x:row r="41" ht="15.75" customHeight="1">
      <x:c r="A41" s="16"/>
      <x:c r="B41" s="16" t="s">
        <x:v>46</x:v>
      </x:c>
      <x:c r="C41" s="16"/>
      <x:c r="E41" s="29">
        <x:v>167971.17920000001</x:v>
      </x:c>
      <x:c r="F41" s="29">
        <x:v>181209.91269787797</x:v>
      </x:c>
      <x:c r="G41" s="29">
        <x:v>183715.25658300929</x:v>
      </x:c>
      <x:c r="H41" s="29">
        <x:v>211069.33560660461</x:v>
      </x:c>
      <x:c r="I41" s="29">
        <x:v>239549.5203651849</x:v>
      </x:c>
      <x:c r="J41" s="72" t="n">
        <x:f>J78</x:f>
        <x:v>266046.4652474315</x:v>
      </x:c>
      <x:c r="K41" s="72" t="n">
        <x:f>K78</x:f>
        <x:v>297183.20622689725</x:v>
      </x:c>
      <x:c r="L41" s="72" t="n">
        <x:f>L78</x:f>
        <x:v>293016.4576836539</x:v>
      </x:c>
      <x:c r="M41" s="72" t="n">
        <x:f>M78</x:f>
        <x:v>172483.77917804715</x:v>
      </x:c>
      <x:c r="N41" s="72" t="n">
        <x:f>N78</x:f>
        <x:v>221153.07935145937</x:v>
      </x:c>
      <x:c r="V41" s="16"/>
      <x:c r="W41" s="16"/>
      <x:c r="X41" s="16"/>
      <x:c r="Y41" s="16"/>
      <x:c r="Z41" s="16"/>
    </x:row>
    <x:row r="42" ht="15.75" customHeight="1">
      <x:c r="A42" s="16"/>
      <x:c r="B42" s="16" t="s">
        <x:v>47</x:v>
      </x:c>
      <x:c r="C42" s="16"/>
      <x:c r="E42" s="29">
        <x:v>5100.3500000000004</x:v>
      </x:c>
      <x:c r="F42" s="29">
        <x:v>5904.3</x:v>
      </x:c>
      <x:c r="G42" s="29">
        <x:v>6567.25</x:v>
      </x:c>
      <x:c r="H42" s="29">
        <x:v>7117.05</x:v>
      </x:c>
      <x:c r="I42" s="29">
        <x:v>7538.6</x:v>
      </x:c>
      <x:c r="J42" s="72" t="n">
        <x:f>J24*J15/365</x:f>
        <x:v>8757.168219178084</x:v>
      </x:c>
      <x:c r="K42" s="72" t="n">
        <x:f>K24*K15/365</x:f>
        <x:v>10114.529293150686</x:v>
      </x:c>
      <x:c r="L42" s="72" t="n">
        <x:f>L24*L15/365</x:f>
        <x:v>10891.50904339726</x:v>
      </x:c>
      <x:c r="M42" s="72" t="n">
        <x:f>M24*M15/365</x:f>
        <x:v>12075.368722027397</x:v>
      </x:c>
      <x:c r="N42" s="72" t="n">
        <x:f>N24*N15/365</x:f>
        <x:v>9853.500877174358</x:v>
      </x:c>
      <x:c r="V42" s="16"/>
      <x:c r="W42" s="16"/>
      <x:c r="X42" s="16"/>
      <x:c r="Y42" s="16"/>
      <x:c r="Z42" s="16"/>
    </x:row>
    <x:row r="43" ht="15.75" customHeight="1">
      <x:c r="A43" s="16"/>
      <x:c r="B43" s="16" t="s">
        <x:v>48</x:v>
      </x:c>
      <x:c r="C43" s="16"/>
      <x:c r="E43" s="29">
        <x:v>7804.6</x:v>
      </x:c>
      <x:c r="F43" s="29">
        <x:v>9600.8000000000011</x:v>
      </x:c>
      <x:c r="G43" s="29">
        <x:v>9824.6</x:v>
      </x:c>
      <x:c r="H43" s="29">
        <x:v>10530.800000000001</x:v>
      </x:c>
      <x:c r="I43" s="29">
        <x:v>11342</x:v>
      </x:c>
      <x:c r="J43" s="72" t="n">
        <x:f>J25*J16/365</x:f>
        <x:v>12478.964712328767</x:v>
      </x:c>
      <x:c r="K43" s="72" t="n">
        <x:f>K25*K16/365</x:f>
        <x:v>14712.04260821918</x:v>
      </x:c>
      <x:c r="L43" s="72" t="n">
        <x:f>L25*L16/365</x:f>
        <x:v>16905.516210838356</x:v>
      </x:c>
      <x:c r="M43" s="72" t="n">
        <x:f>M25*M16/365</x:f>
        <x:v>19562.097329684384</x:v>
      </x:c>
      <x:c r="N43" s="72" t="n">
        <x:f>N25*N16/365</x:f>
        <x:v>14041.238749973461</x:v>
      </x:c>
      <x:c r="V43" s="16"/>
      <x:c r="W43" s="16"/>
      <x:c r="X43" s="16"/>
      <x:c r="Y43" s="16"/>
      <x:c r="Z43" s="16"/>
    </x:row>
    <x:row r="44" ht="15.75" customHeight="1">
      <x:c r="A44" s="16"/>
      <x:c r="B44" s="16" t="s">
        <x:v>49</x:v>
      </x:c>
      <x:c r="C44" s="16"/>
      <x:c r="D44" s="22"/>
      <x:c r="E44" s="29">
        <x:v>45500</x:v>
      </x:c>
      <x:c r="F44" s="29">
        <x:v>42350</x:v>
      </x:c>
      <x:c r="G44" s="29">
        <x:v>40145</x:v>
      </x:c>
      <x:c r="H44" s="29">
        <x:v>38601.5</x:v>
      </x:c>
      <x:c r="I44" s="29">
        <x:v>37521.050000000003</x:v>
      </x:c>
      <x:c r="J44" s="72" t="n">
        <x:f>J95</x:f>
        <x:v>39388.6825</x:v>
      </x:c>
      <x:c r="K44" s="72" t="n">
        <x:f>K95</x:f>
        <x:v>35602.643625000004</x:v>
      </x:c>
      <x:c r="L44" s="72" t="n">
        <x:f>L95</x:f>
        <x:v>48141.71835625</x:v>
      </x:c>
      <x:c r="M44" s="72" t="n">
        <x:f>M95</x:f>
        <x:v>41292.1169315625</x:v>
      </x:c>
      <x:c r="N44" s="72" t="n">
        <x:f>N95</x:f>
        <x:v>41839.87600551563</x:v>
      </x:c>
      <x:c r="V44" s="16"/>
      <x:c r="W44" s="16"/>
      <x:c r="X44" s="16"/>
      <x:c r="Y44" s="16"/>
      <x:c r="Z44" s="16"/>
    </x:row>
    <x:row r="45" ht="15.75" customHeight="1">
      <x:c r="A45" s="16"/>
      <x:c r="B45" s="40" t="s">
        <x:v>50</x:v>
      </x:c>
      <x:c r="C45" s="40"/>
      <x:c r="D45" s="41"/>
      <x:c r="E45" s="40" t="n">
        <x:f t="shared" ref="E45:I45" si="26">SUM(E41:E44)</x:f>
        <x:v>226376.12920000002</x:v>
      </x:c>
      <x:c r="F45" s="40">
        <x:f t="shared" si="26"/>
        <x:v>239065.01269787794</x:v>
      </x:c>
      <x:c r="G45" s="40">
        <x:f t="shared" si="26"/>
        <x:v>240252.1065830093</x:v>
      </x:c>
      <x:c r="H45" s="40">
        <x:f t="shared" si="26"/>
        <x:v>267318.68560660456</x:v>
      </x:c>
      <x:c r="I45" s="40">
        <x:f t="shared" si="26"/>
        <x:v>295951.17036518489</x:v>
      </x:c>
      <x:c r="J45" s="73" t="n">
        <x:f>SUM(J41:J44)</x:f>
        <x:v>326671.2806789383</x:v>
      </x:c>
      <x:c r="K45" s="73" t="n">
        <x:f>SUM(K41:K44)</x:f>
        <x:v>357612.4217532672</x:v>
      </x:c>
      <x:c r="L45" s="73" t="n">
        <x:f>SUM(L41:L44)</x:f>
        <x:v>368955.2012941395</x:v>
      </x:c>
      <x:c r="M45" s="73" t="n">
        <x:f>SUM(M41:M44)</x:f>
        <x:v>245413.36216132145</x:v>
      </x:c>
      <x:c r="N45" s="73" t="n">
        <x:f>SUM(N41:N44)</x:f>
        <x:v>286887.6949841228</x:v>
      </x:c>
      <x:c r="V45" s="16"/>
      <x:c r="W45" s="16"/>
      <x:c r="X45" s="16"/>
      <x:c r="Y45" s="16"/>
      <x:c r="Z45" s="16"/>
    </x:row>
    <x:row r="46" ht="15.75" customHeight="1">
      <x:c r="A46" s="16"/>
      <x:c r="B46" s="25"/>
      <x:c r="C46" s="25"/>
      <x:c r="D46" s="26"/>
      <x:c r="E46" s="33"/>
      <x:c r="F46" s="33"/>
      <x:c r="G46" s="33"/>
      <x:c r="H46" s="33"/>
      <x:c r="I46" s="33"/>
      <x:c r="J46" s="74"/>
      <x:c r="K46" s="74"/>
      <x:c r="L46" s="74"/>
      <x:c r="M46" s="74"/>
      <x:c r="N46" s="74"/>
      <x:c r="V46" s="16"/>
      <x:c r="W46" s="16"/>
      <x:c r="X46" s="16"/>
      <x:c r="Y46" s="16"/>
      <x:c r="Z46" s="16"/>
    </x:row>
    <x:row r="47" ht="15.75" customHeight="1">
      <x:c r="A47" s="16"/>
      <x:c r="B47" s="25" t="s">
        <x:v>51</x:v>
      </x:c>
      <x:c r="C47" s="16"/>
      <x:c r="E47" s="29"/>
      <x:c r="F47" s="29"/>
      <x:c r="G47" s="29"/>
      <x:c r="H47" s="29"/>
      <x:c r="I47" s="29"/>
      <x:c r="J47" s="72"/>
      <x:c r="K47" s="72"/>
      <x:c r="L47" s="72"/>
      <x:c r="M47" s="72"/>
      <x:c r="N47" s="72"/>
      <x:c r="V47" s="16"/>
      <x:c r="W47" s="16"/>
      <x:c r="X47" s="16"/>
      <x:c r="Y47" s="16"/>
      <x:c r="Z47" s="16"/>
    </x:row>
    <x:row r="48" ht="15.75" customHeight="1">
      <x:c r="A48" s="16"/>
      <x:c r="B48" s="16" t="s">
        <x:v>52</x:v>
      </x:c>
      <x:c r="C48" s="16"/>
      <x:c r="E48" s="29">
        <x:v>3902.3</x:v>
      </x:c>
      <x:c r="F48" s="29">
        <x:v>4800.4000000000005</x:v>
      </x:c>
      <x:c r="G48" s="29">
        <x:v>4912.3</x:v>
      </x:c>
      <x:c r="H48" s="29">
        <x:v>5265.4000000000005</x:v>
      </x:c>
      <x:c r="I48" s="29">
        <x:v>5671</x:v>
      </x:c>
      <x:c r="J48" s="72" t="n">
        <x:f>J25*J17/365</x:f>
        <x:v>5823.516865753424</x:v>
      </x:c>
      <x:c r="K48" s="72" t="n">
        <x:f>K25*K17/365</x:f>
        <x:v>5517.015978082192</x:v>
      </x:c>
      <x:c r="L48" s="72" t="n">
        <x:f>L25*L17/365</x:f>
        <x:v>4972.210650246575</x:v>
      </x:c>
      <x:c r="M48" s="72" t="n">
        <x:f>M25*M17/365</x:f>
        <x:v>4347.132739929863</x:v>
      </x:c>
      <x:c r="N48" s="72" t="n">
        <x:f>N25*N17/365</x:f>
        <x:v>6552.578083320948</x:v>
      </x:c>
      <x:c r="V48" s="16"/>
      <x:c r="W48" s="16"/>
      <x:c r="X48" s="16"/>
      <x:c r="Y48" s="16"/>
      <x:c r="Z48" s="16"/>
    </x:row>
    <x:row r="49" ht="15.75" customHeight="1">
      <x:c r="A49" s="16"/>
      <x:c r="B49" s="16" t="s">
        <x:v>53</x:v>
      </x:c>
      <x:c r="C49" s="16"/>
      <x:c r="D49" s="22"/>
      <x:c r="E49" s="29">
        <x:v>50000</x:v>
      </x:c>
      <x:c r="F49" s="29">
        <x:v>50000</x:v>
      </x:c>
      <x:c r="G49" s="29">
        <x:v>30000</x:v>
      </x:c>
      <x:c r="H49" s="29">
        <x:v>30000</x:v>
      </x:c>
      <x:c r="I49" s="29">
        <x:v>30000</x:v>
      </x:c>
      <x:c r="J49" s="72" t="n">
        <x:f>J100</x:f>
        <x:v>30000</x:v>
      </x:c>
      <x:c r="K49" s="72" t="n">
        <x:f>K100</x:f>
        <x:v>30000</x:v>
      </x:c>
      <x:c r="L49" s="72" t="n">
        <x:f>L100</x:f>
        <x:v>10000</x:v>
      </x:c>
      <x:c r="M49" s="72" t="n">
        <x:f>M100</x:f>
        <x:v>10000</x:v>
      </x:c>
      <x:c r="N49" s="72" t="n">
        <x:f>N100</x:f>
        <x:v>10000</x:v>
      </x:c>
      <x:c r="V49" s="16"/>
      <x:c r="W49" s="16"/>
      <x:c r="X49" s="16"/>
      <x:c r="Y49" s="16"/>
      <x:c r="Z49" s="16"/>
    </x:row>
    <x:row r="50" ht="15.75" customHeight="1">
      <x:c r="A50" s="16"/>
      <x:c r="B50" s="35" t="s">
        <x:v>54</x:v>
      </x:c>
      <x:c r="C50" s="35"/>
      <x:c r="D50" s="36"/>
      <x:c r="E50" s="35" t="n">
        <x:f t="shared" ref="E50:I50" si="27">SUM(E48:E49)</x:f>
        <x:v>53902.3</x:v>
      </x:c>
      <x:c r="F50" s="35">
        <x:f t="shared" si="27"/>
        <x:v>54800.4</x:v>
      </x:c>
      <x:c r="G50" s="35">
        <x:f t="shared" si="27"/>
        <x:v>34912.300000000003</x:v>
      </x:c>
      <x:c r="H50" s="35">
        <x:f t="shared" si="27"/>
        <x:v>35265.4</x:v>
      </x:c>
      <x:c r="I50" s="35">
        <x:f t="shared" si="27"/>
        <x:v>35671</x:v>
      </x:c>
      <x:c r="J50" s="75" t="n">
        <x:f>SUM(J48:J49)</x:f>
        <x:v>35823.51686575342</x:v>
      </x:c>
      <x:c r="K50" s="75" t="n">
        <x:f>SUM(K48:K49)</x:f>
        <x:v>35517.01597808219</x:v>
      </x:c>
      <x:c r="L50" s="75" t="n">
        <x:f>SUM(L48:L49)</x:f>
        <x:v>14972.210650246576</x:v>
      </x:c>
      <x:c r="M50" s="75" t="n">
        <x:f>SUM(M48:M49)</x:f>
        <x:v>14347.132739929864</x:v>
      </x:c>
      <x:c r="N50" s="75" t="n">
        <x:f>SUM(N48:N49)</x:f>
        <x:v>16552.57808332095</x:v>
      </x:c>
      <x:c r="V50" s="16"/>
      <x:c r="W50" s="16"/>
      <x:c r="X50" s="16"/>
      <x:c r="Y50" s="16"/>
      <x:c r="Z50" s="16"/>
    </x:row>
    <x:row r="51" ht="15.75" customHeight="1">
      <x:c r="A51" s="16"/>
      <x:c r="B51" s="25" t="s">
        <x:v>55</x:v>
      </x:c>
      <x:c r="C51" s="16"/>
      <x:c r="D51" s="22"/>
      <x:c r="E51" s="29"/>
      <x:c r="F51" s="29"/>
      <x:c r="G51" s="29"/>
      <x:c r="H51" s="29"/>
      <x:c r="I51" s="29"/>
      <x:c r="J51" s="72"/>
      <x:c r="K51" s="72"/>
      <x:c r="L51" s="72"/>
      <x:c r="M51" s="72"/>
      <x:c r="N51" s="72"/>
      <x:c r="V51" s="16"/>
      <x:c r="W51" s="16"/>
      <x:c r="X51" s="16"/>
      <x:c r="Y51" s="16"/>
      <x:c r="Z51" s="16"/>
    </x:row>
    <x:row r="52" ht="15.75" customHeight="1">
      <x:c r="A52" s="16"/>
      <x:c r="B52" s="16" t="s">
        <x:v>56</x:v>
      </x:c>
      <x:c r="C52" s="16"/>
      <x:c r="D52" s="22"/>
      <x:c r="E52" s="29">
        <x:v>170000</x:v>
      </x:c>
      <x:c r="F52" s="29">
        <x:v>170000</x:v>
      </x:c>
      <x:c r="G52" s="29">
        <x:v>170000</x:v>
      </x:c>
      <x:c r="H52" s="29">
        <x:v>170000</x:v>
      </x:c>
      <x:c r="I52" s="29">
        <x:v>170000</x:v>
      </x:c>
      <x:c r="J52" s="72" t="n">
        <x:f>I52+J20</x:f>
        <x:v>170000</x:v>
      </x:c>
      <x:c r="K52" s="72" t="n">
        <x:f>J52+K20</x:f>
        <x:v>170000</x:v>
      </x:c>
      <x:c r="L52" s="72" t="n">
        <x:f>K52+L20</x:f>
        <x:v>170000</x:v>
      </x:c>
      <x:c r="M52" s="72" t="n">
        <x:f>L52+M20</x:f>
        <x:v>20000</x:v>
      </x:c>
      <x:c r="N52" s="72" t="n">
        <x:f>M52+N20</x:f>
        <x:v>20000</x:v>
      </x:c>
      <x:c r="V52" s="16"/>
      <x:c r="W52" s="16"/>
      <x:c r="X52" s="16"/>
      <x:c r="Y52" s="16"/>
      <x:c r="Z52" s="16"/>
    </x:row>
    <x:row r="53" ht="15.75" customHeight="1">
      <x:c r="A53" s="16"/>
      <x:c r="B53" s="16" t="s">
        <x:v>57</x:v>
      </x:c>
      <x:c r="C53" s="16"/>
      <x:c r="D53" s="22"/>
      <x:c r="E53" s="29">
        <x:v>2473.8292000000001</x:v>
      </x:c>
      <x:c r="F53" s="29">
        <x:v>14264.612697877968</x:v>
      </x:c>
      <x:c r="G53" s="29">
        <x:v>35339.806583009296</x:v>
      </x:c>
      <x:c r="H53" s="29">
        <x:v>62053.285606604608</x:v>
      </x:c>
      <x:c r="I53" s="29">
        <x:v>90280.170365184895</x:v>
      </x:c>
      <x:c r="J53" s="72" t="n">
        <x:f>I53+J36</x:f>
        <x:v>120847.7638131849</x:v>
      </x:c>
      <x:c r="K53" s="72" t="n">
        <x:f>J53+K36</x:f>
        <x:v>152095.4057751849</x:v>
      </x:c>
      <x:c r="L53" s="72" t="n">
        <x:f>K53+L36</x:f>
        <x:v>183982.9906438929</x:v>
      </x:c>
      <x:c r="M53" s="72" t="n">
        <x:f>L53+M36</x:f>
        <x:v>211066.2294213915</x:v>
      </x:c>
      <x:c r="N53" s="72" t="n">
        <x:f>M53+N36</x:f>
        <x:v>250335.1169008018</x:v>
      </x:c>
      <x:c r="V53" s="16"/>
      <x:c r="W53" s="16"/>
      <x:c r="X53" s="16"/>
      <x:c r="Y53" s="16"/>
      <x:c r="Z53" s="16"/>
    </x:row>
    <x:row r="54" ht="15.75" customHeight="1">
      <x:c r="A54" s="16"/>
      <x:c r="B54" s="43" t="s">
        <x:v>55</x:v>
      </x:c>
      <x:c r="C54" s="43"/>
      <x:c r="D54" s="44"/>
      <x:c r="E54" s="43" t="n">
        <x:f t="shared" ref="E54:I54" si="28">SUM(E52:E53)</x:f>
        <x:v>172473.8292</x:v>
      </x:c>
      <x:c r="F54" s="43">
        <x:f t="shared" si="28"/>
        <x:v>184264.61269787798</x:v>
      </x:c>
      <x:c r="G54" s="43">
        <x:f t="shared" si="28"/>
        <x:v>205339.80658300931</x:v>
      </x:c>
      <x:c r="H54" s="43">
        <x:f t="shared" si="28"/>
        <x:v>232053.28560660459</x:v>
      </x:c>
      <x:c r="I54" s="43">
        <x:f t="shared" si="28"/>
        <x:v>260280.17036518489</x:v>
      </x:c>
      <x:c r="J54" s="76" t="n">
        <x:f>SUM(J52:J53)</x:f>
        <x:v>290847.7638131849</x:v>
      </x:c>
      <x:c r="K54" s="76" t="n">
        <x:f>SUM(K52:K53)</x:f>
        <x:v>322095.40577518486</x:v>
      </x:c>
      <x:c r="L54" s="76" t="n">
        <x:f>SUM(L52:L53)</x:f>
        <x:v>353982.9906438929</x:v>
      </x:c>
      <x:c r="M54" s="76" t="n">
        <x:f>SUM(M52:M53)</x:f>
        <x:v>231066.2294213915</x:v>
      </x:c>
      <x:c r="N54" s="76" t="n">
        <x:f>SUM(N52:N53)</x:f>
        <x:v>270335.1169008018</x:v>
      </x:c>
      <x:c r="V54" s="16"/>
      <x:c r="W54" s="16"/>
      <x:c r="X54" s="16"/>
      <x:c r="Y54" s="16"/>
      <x:c r="Z54" s="16"/>
    </x:row>
    <x:row r="55" ht="15.75" customHeight="1">
      <x:c r="A55" s="16"/>
      <x:c r="B55" s="40" t="s">
        <x:v>58</x:v>
      </x:c>
      <x:c r="C55" s="40"/>
      <x:c r="D55" s="41"/>
      <x:c r="E55" s="40" t="n">
        <x:f t="shared" ref="E55:I55" si="29">E50+E54</x:f>
        <x:v>226376.12920000002</x:v>
      </x:c>
      <x:c r="F55" s="40">
        <x:f t="shared" si="29"/>
        <x:v>239065.01269787797</x:v>
      </x:c>
      <x:c r="G55" s="40">
        <x:f t="shared" si="29"/>
        <x:v>240252.1065830093</x:v>
      </x:c>
      <x:c r="H55" s="40">
        <x:f t="shared" si="29"/>
        <x:v>267318.68560660462</x:v>
      </x:c>
      <x:c r="I55" s="40">
        <x:f t="shared" si="29"/>
        <x:v>295951.17036518489</x:v>
      </x:c>
      <x:c r="J55" s="73" t="n">
        <x:f>J50+J54</x:f>
        <x:v>326671.2806789384</x:v>
      </x:c>
      <x:c r="K55" s="73" t="n">
        <x:f>K50+K54</x:f>
        <x:v>357612.42175326706</x:v>
      </x:c>
      <x:c r="L55" s="73" t="n">
        <x:f>L50+L54</x:f>
        <x:v>368955.2012941395</x:v>
      </x:c>
      <x:c r="M55" s="73" t="n">
        <x:f>M50+M54</x:f>
        <x:v>245413.36216132136</x:v>
      </x:c>
      <x:c r="N55" s="73" t="n">
        <x:f>N50+N54</x:f>
        <x:v>286887.6949841227</x:v>
      </x:c>
      <x:c r="V55" s="16"/>
      <x:c r="W55" s="16"/>
      <x:c r="X55" s="16"/>
      <x:c r="Y55" s="16"/>
      <x:c r="Z55" s="16"/>
    </x:row>
    <x:row r="56" ht="15.75" customHeight="1">
      <x:c r="A56" s="16"/>
      <x:c r="B56" s="16"/>
      <x:c r="C56" s="16"/>
      <x:c r="D56" s="22"/>
      <x:c r="E56" s="29"/>
      <x:c r="F56" s="29"/>
      <x:c r="G56" s="29"/>
      <x:c r="H56" s="29"/>
      <x:c r="I56" s="29"/>
      <x:c r="J56" s="77"/>
      <x:c r="K56" s="77"/>
      <x:c r="L56" s="77"/>
      <x:c r="M56" s="77"/>
      <x:c r="N56" s="77"/>
      <x:c r="V56" s="16"/>
      <x:c r="W56" s="16"/>
      <x:c r="X56" s="16"/>
      <x:c r="Y56" s="16"/>
      <x:c r="Z56" s="16"/>
    </x:row>
    <x:row r="57" ht="15.75" customHeight="1">
      <x:c r="A57" s="16"/>
      <x:c r="B57" s="30" t="s">
        <x:v>59</x:v>
      </x:c>
      <x:c r="C57" s="45"/>
      <x:c r="D57" s="46"/>
      <x:c r="E57" s="47" t="n">
        <x:f t="shared" ref="E57:N57" si="30">E55-E45</x:f>
        <x:v>0</x:v>
      </x:c>
      <x:c r="F57" s="47">
        <x:f t="shared" si="30"/>
        <x:v>0</x:v>
      </x:c>
      <x:c r="G57" s="47">
        <x:f t="shared" si="30"/>
        <x:v>0</x:v>
      </x:c>
      <x:c r="H57" s="47">
        <x:f t="shared" si="30"/>
        <x:v>0</x:v>
      </x:c>
      <x:c r="I57" s="47">
        <x:f t="shared" si="30"/>
        <x:v>0</x:v>
      </x:c>
      <x:c r="J57" s="78" t="n">
        <x:f t="shared" si="30">J55-J45</x:f>
        <x:v>5.820766091346741e-11</x:v>
      </x:c>
      <x:c r="K57" s="78" t="n">
        <x:f t="shared" si="30">K55-K45</x:f>
        <x:v>-1.1641532182693481e-10</x:v>
      </x:c>
      <x:c r="L57" s="78" t="n">
        <x:f t="shared" si="30">L55-L45</x:f>
        <x:v>0</x:v>
      </x:c>
      <x:c r="M57" s="78" t="n">
        <x:f t="shared" si="30">M55-M45</x:f>
        <x:v>-8.731149137020111e-11</x:v>
      </x:c>
      <x:c r="N57" s="78" t="n">
        <x:f t="shared" si="30">N55-N45</x:f>
        <x:v>-1.1641532182693481e-10</x:v>
      </x:c>
      <x:c r="V57" s="16"/>
      <x:c r="W57" s="16"/>
      <x:c r="X57" s="16"/>
      <x:c r="Y57" s="16"/>
      <x:c r="Z57" s="16"/>
    </x:row>
    <x:row r="58" ht="15.75" customHeight="1">
      <x:c r="A58" s="16"/>
      <x:c r="B58" s="45"/>
      <x:c r="C58" s="45"/>
      <x:c r="D58" s="46"/>
      <x:c r="E58" s="45"/>
      <x:c r="F58" s="45"/>
      <x:c r="G58" s="45"/>
      <x:c r="H58" s="45"/>
      <x:c r="I58" s="45"/>
      <x:c r="J58" s="78"/>
      <x:c r="K58" s="78"/>
      <x:c r="L58" s="78"/>
      <x:c r="M58" s="78"/>
      <x:c r="N58" s="78"/>
      <x:c r="V58" s="16"/>
      <x:c r="W58" s="16"/>
      <x:c r="X58" s="16"/>
      <x:c r="Y58" s="16"/>
      <x:c r="Z58" s="16"/>
    </x:row>
    <x:row r="59" ht="15.75" customHeight="1">
      <x:c r="A59" s="16"/>
      <x:c r="B59" s="16"/>
      <x:c r="C59" s="16"/>
      <x:c r="D59" s="22"/>
      <x:c r="E59" s="29"/>
      <x:c r="F59" s="29"/>
      <x:c r="G59" s="29"/>
      <x:c r="H59" s="29"/>
      <x:c r="I59" s="29"/>
      <x:c r="J59" s="72"/>
      <x:c r="K59" s="72"/>
      <x:c r="L59" s="72"/>
      <x:c r="M59" s="72"/>
      <x:c r="N59" s="72"/>
      <x:c r="V59" s="16"/>
      <x:c r="W59" s="16"/>
      <x:c r="X59" s="16"/>
      <x:c r="Y59" s="16"/>
      <x:c r="Z59" s="16"/>
    </x:row>
    <x:row r="60" ht="15.75" customHeight="1">
      <x:c r="A60" s="16"/>
      <x:c r="B60" s="24" t="s">
        <x:v>60</x:v>
      </x:c>
      <x:c r="C60" s="24"/>
      <x:c r="D60" s="24"/>
      <x:c r="E60" s="24"/>
      <x:c r="F60" s="24"/>
      <x:c r="G60" s="24"/>
      <x:c r="H60" s="24"/>
      <x:c r="I60" s="24"/>
      <x:c r="J60" s="79"/>
      <x:c r="K60" s="79"/>
      <x:c r="L60" s="79"/>
      <x:c r="M60" s="79"/>
      <x:c r="N60" s="79"/>
      <x:c r="V60" s="16"/>
      <x:c r="W60" s="16"/>
      <x:c r="X60" s="16"/>
      <x:c r="Y60" s="16"/>
      <x:c r="Z60" s="16"/>
    </x:row>
    <x:row r="61" ht="15.75" customHeight="1">
      <x:c r="A61" s="16"/>
      <x:c r="B61" s="25" t="s">
        <x:v>61</x:v>
      </x:c>
      <x:c r="C61" s="16"/>
      <x:c r="D61" s="22"/>
      <x:c r="E61" s="29"/>
      <x:c r="F61" s="29"/>
      <x:c r="G61" s="29"/>
      <x:c r="H61" s="29"/>
      <x:c r="I61" s="29"/>
      <x:c r="J61" s="72"/>
      <x:c r="K61" s="72"/>
      <x:c r="L61" s="72"/>
      <x:c r="M61" s="72"/>
      <x:c r="N61" s="72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 ht="15.75" customHeight="1">
      <x:c r="A62" s="16"/>
      <x:c r="B62" s="16" t="s">
        <x:v>44</x:v>
      </x:c>
      <x:c r="C62" s="16"/>
      <x:c r="D62" s="22"/>
      <x:c r="E62" s="16" t="n">
        <x:f t="shared" ref="E62:I62" si="31">E36</x:f>
        <x:v>2473.8292</x:v>
      </x:c>
      <x:c r="F62" s="16">
        <x:f t="shared" si="31"/>
        <x:v>11790.783497877968</x:v>
      </x:c>
      <x:c r="G62" s="16">
        <x:f t="shared" si="31"/>
        <x:v>21075.193885131324</x:v>
      </x:c>
      <x:c r="H62" s="16">
        <x:f t="shared" si="31"/>
        <x:v>26713.479023595311</x:v>
      </x:c>
      <x:c r="I62" s="16">
        <x:f t="shared" si="31"/>
        <x:v>28226.884758580287</x:v>
      </x:c>
      <x:c r="J62" s="72" t="n">
        <x:f>J36</x:f>
        <x:v>30567.593447999996</x:v>
      </x:c>
      <x:c r="K62" s="72" t="n">
        <x:f>K36</x:f>
        <x:v>31247.641961999998</x:v>
      </x:c>
      <x:c r="L62" s="72" t="n">
        <x:f>L36</x:f>
        <x:v>31887.584868708007</x:v>
      </x:c>
      <x:c r="M62" s="72" t="n">
        <x:f>M36</x:f>
        <x:v>27083.238777498605</x:v>
      </x:c>
      <x:c r="N62" s="72" t="n">
        <x:f>N36</x:f>
        <x:v>39268.8874794103</x:v>
      </x:c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 ht="15.75" customHeight="1">
      <x:c r="A63" s="16"/>
      <x:c r="B63" s="16" t="s">
        <x:v>62</x:v>
      </x:c>
      <x:c r="C63" s="16"/>
      <x:c r="D63" s="22"/>
      <x:c r="E63" s="16" t="n">
        <x:f t="shared" ref="E63:I63" si="32">+E30</x:f>
        <x:v>19500</x:v>
      </x:c>
      <x:c r="F63" s="16">
        <x:f t="shared" si="32"/>
        <x:v>18150</x:v>
      </x:c>
      <x:c r="G63" s="16">
        <x:f t="shared" si="32"/>
        <x:v>17205</x:v>
      </x:c>
      <x:c r="H63" s="16">
        <x:f t="shared" si="32"/>
        <x:v>16543.5</x:v>
      </x:c>
      <x:c r="I63" s="16">
        <x:f t="shared" si="32"/>
        <x:v>16080.449999999999</x:v>
      </x:c>
      <x:c r="J63" s="72" t="n">
        <x:f>+J30</x:f>
        <x:v>13132.3675</x:v>
      </x:c>
      <x:c r="K63" s="72" t="n">
        <x:f>+K30</x:f>
        <x:v>13786.038875</x:v>
      </x:c>
      <x:c r="L63" s="72" t="n">
        <x:f>+L30</x:f>
        <x:v>12460.925268750001</x:v>
      </x:c>
      <x:c r="M63" s="72" t="n">
        <x:f>+M30</x:f>
        <x:v>16849.6014246875</x:v>
      </x:c>
      <x:c r="N63" s="72" t="n">
        <x:f>+N30</x:f>
        <x:v>14452.240926046874</x:v>
      </x:c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 ht="15.75" customHeight="1">
      <x:c r="A64" s="16"/>
      <x:c r="B64" s="16" t="s">
        <x:v>63</x:v>
      </x:c>
      <x:c r="C64" s="16"/>
      <x:c r="D64" s="22"/>
      <x:c r="E64" s="29">
        <x:v>9002.6500000000015</x:v>
      </x:c>
      <x:c r="F64" s="29">
        <x:v>1702.0499999999993</x:v>
      </x:c>
      <x:c r="G64" s="29">
        <x:v>774.84999999999854</x:v>
      </x:c>
      <x:c r="H64" s="29">
        <x:v>902.90000000000146</x:v>
      </x:c>
      <x:c r="I64" s="29">
        <x:v>827.14999999999782</x:v>
      </x:c>
      <x:c r="J64" s="72" t="n">
        <x:f>J89</x:f>
        <x:v>2203.016065753429</x:v>
      </x:c>
      <x:c r="K64" s="72" t="n">
        <x:f>K89</x:f>
        <x:v>3896.9398575342493</x:v>
      </x:c>
      <x:c r="L64" s="72" t="n">
        <x:f>L89</x:f>
        <x:v>3515.258680701365</x:v>
      </x:c>
      <x:c r="M64" s="72" t="n">
        <x:f>M89</x:f>
        <x:v>4465.518707792875</x:v>
      </x:c>
      <x:c r="N64" s="72" t="n">
        <x:f>N89</x:f>
        <x:v>-9948.171767955046</x:v>
      </x:c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 ht="15.75" customHeight="1">
      <x:c r="A65" s="16"/>
      <x:c r="B65" s="35" t="s">
        <x:v>64</x:v>
      </x:c>
      <x:c r="C65" s="48"/>
      <x:c r="D65" s="49"/>
      <x:c r="E65" s="35" t="n">
        <x:f t="shared" ref="E65:I65" si="33">E62+E63-E64</x:f>
        <x:v>12971.179199999999</x:v>
      </x:c>
      <x:c r="F65" s="35">
        <x:f t="shared" si="33"/>
        <x:v>28238.733497877969</x:v>
      </x:c>
      <x:c r="G65" s="35">
        <x:f t="shared" si="33"/>
        <x:v>37505.343885131326</x:v>
      </x:c>
      <x:c r="H65" s="35">
        <x:f t="shared" si="33"/>
        <x:v>42354.07902359531</x:v>
      </x:c>
      <x:c r="I65" s="35">
        <x:f t="shared" si="33"/>
        <x:v>43480.18475858029</x:v>
      </x:c>
      <x:c r="J65" s="75" t="n">
        <x:f>J62+J63-J64</x:f>
        <x:v>41496.944882246564</x:v>
      </x:c>
      <x:c r="K65" s="75" t="n">
        <x:f>K62+K63-K64</x:f>
        <x:v>41136.74097946575</x:v>
      </x:c>
      <x:c r="L65" s="75" t="n">
        <x:f>L62+L63-L64</x:f>
        <x:v>40833.25145675665</x:v>
      </x:c>
      <x:c r="M65" s="75" t="n">
        <x:f>M62+M63-M64</x:f>
        <x:v>39467.321494393225</x:v>
      </x:c>
      <x:c r="N65" s="75" t="n">
        <x:f>N62+N63-N64</x:f>
        <x:v>63669.30017341222</x:v>
      </x:c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 ht="15.75" customHeight="1">
      <x:c r="A66" s="16"/>
      <x:c r="B66" s="25"/>
      <x:c r="C66" s="16"/>
      <x:c r="D66" s="22"/>
      <x:c r="E66" s="33"/>
      <x:c r="F66" s="33"/>
      <x:c r="G66" s="33"/>
      <x:c r="H66" s="33"/>
      <x:c r="I66" s="33"/>
      <x:c r="J66" s="74"/>
      <x:c r="K66" s="74"/>
      <x:c r="L66" s="74"/>
      <x:c r="M66" s="74"/>
      <x:c r="N66" s="74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 ht="15.75" customHeight="1">
      <x:c r="A67" s="16"/>
      <x:c r="B67" s="25" t="s">
        <x:v>65</x:v>
      </x:c>
      <x:c r="C67" s="16"/>
      <x:c r="D67" s="22"/>
      <x:c r="E67" s="29"/>
      <x:c r="F67" s="29"/>
      <x:c r="G67" s="29"/>
      <x:c r="H67" s="29"/>
      <x:c r="I67" s="29"/>
      <x:c r="J67" s="72"/>
      <x:c r="K67" s="72"/>
      <x:c r="L67" s="72"/>
      <x:c r="M67" s="72"/>
      <x:c r="N67" s="72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 ht="15.75" customHeight="1">
      <x:c r="A68" s="16"/>
      <x:c r="B68" s="16" t="s">
        <x:v>66</x:v>
      </x:c>
      <x:c r="C68" s="16"/>
      <x:c r="D68" s="22"/>
      <x:c r="E68" s="29">
        <x:v>15000</x:v>
      </x:c>
      <x:c r="F68" s="29">
        <x:v>15000</x:v>
      </x:c>
      <x:c r="G68" s="29">
        <x:v>15000</x:v>
      </x:c>
      <x:c r="H68" s="29">
        <x:v>15000</x:v>
      </x:c>
      <x:c r="I68" s="29">
        <x:v>15000</x:v>
      </x:c>
      <x:c r="J68" s="72" t="n">
        <x:f>J18</x:f>
        <x:v>15000</x:v>
      </x:c>
      <x:c r="K68" s="72" t="n">
        <x:f>K18</x:f>
        <x:v>10000</x:v>
      </x:c>
      <x:c r="L68" s="72" t="n">
        <x:f>L18</x:f>
        <x:v>25000</x:v>
      </x:c>
      <x:c r="M68" s="72" t="n">
        <x:f>M18</x:f>
        <x:v>10000</x:v>
      </x:c>
      <x:c r="N68" s="72" t="n">
        <x:f>N18</x:f>
        <x:v>15000</x:v>
      </x:c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 ht="15.75" customHeight="1">
      <x:c r="A69" s="16"/>
      <x:c r="B69" s="35" t="s">
        <x:v>67</x:v>
      </x:c>
      <x:c r="C69" s="48"/>
      <x:c r="D69" s="49"/>
      <x:c r="E69" s="35" t="n">
        <x:f t="shared" ref="E69:I69" si="34">SUM(E68)</x:f>
        <x:v>15000</x:v>
      </x:c>
      <x:c r="F69" s="35">
        <x:f t="shared" si="34"/>
        <x:v>15000</x:v>
      </x:c>
      <x:c r="G69" s="35">
        <x:f t="shared" si="34"/>
        <x:v>15000</x:v>
      </x:c>
      <x:c r="H69" s="35">
        <x:f t="shared" si="34"/>
        <x:v>15000</x:v>
      </x:c>
      <x:c r="I69" s="35">
        <x:f t="shared" si="34"/>
        <x:v>15000</x:v>
      </x:c>
      <x:c r="J69" s="75" t="n">
        <x:f>SUM(J68)</x:f>
        <x:v>15000</x:v>
      </x:c>
      <x:c r="K69" s="75" t="n">
        <x:f>SUM(K68)</x:f>
        <x:v>10000</x:v>
      </x:c>
      <x:c r="L69" s="75" t="n">
        <x:f>SUM(L68)</x:f>
        <x:v>25000</x:v>
      </x:c>
      <x:c r="M69" s="75" t="n">
        <x:f>SUM(M68)</x:f>
        <x:v>10000</x:v>
      </x:c>
      <x:c r="N69" s="75" t="n">
        <x:f>SUM(N68)</x:f>
        <x:v>15000</x:v>
      </x:c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 ht="15.75" customHeight="1">
      <x:c r="A70" s="16"/>
      <x:c r="B70" s="25"/>
      <x:c r="C70" s="16"/>
      <x:c r="D70" s="22"/>
      <x:c r="E70" s="33"/>
      <x:c r="F70" s="33"/>
      <x:c r="G70" s="33"/>
      <x:c r="H70" s="33"/>
      <x:c r="I70" s="33"/>
      <x:c r="J70" s="74"/>
      <x:c r="K70" s="74"/>
      <x:c r="L70" s="74"/>
      <x:c r="M70" s="74"/>
      <x:c r="N70" s="74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 ht="15.75" customHeight="1">
      <x:c r="A71" s="16"/>
      <x:c r="B71" s="25" t="s">
        <x:v>68</x:v>
      </x:c>
      <x:c r="C71" s="16"/>
      <x:c r="D71" s="22"/>
      <x:c r="E71" s="29"/>
      <x:c r="F71" s="29"/>
      <x:c r="G71" s="29"/>
      <x:c r="H71" s="29"/>
      <x:c r="I71" s="29"/>
      <x:c r="J71" s="72"/>
      <x:c r="K71" s="72"/>
      <x:c r="L71" s="72"/>
      <x:c r="M71" s="72"/>
      <x:c r="N71" s="72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 ht="15.75" customHeight="1">
      <x:c r="A72" s="16"/>
      <x:c r="B72" s="16" t="s">
        <x:v>69</x:v>
      </x:c>
      <x:c r="C72" s="16"/>
      <x:c r="D72" s="22"/>
      <x:c r="E72" s="29">
        <x:v>0</x:v>
      </x:c>
      <x:c r="F72" s="29">
        <x:v>0</x:v>
      </x:c>
      <x:c r="G72" s="29">
        <x:v>-20000</x:v>
      </x:c>
      <x:c r="H72" s="29">
        <x:v>0</x:v>
      </x:c>
      <x:c r="I72" s="29">
        <x:v>0</x:v>
      </x:c>
      <x:c r="J72" s="72" t="n">
        <x:f>J19</x:f>
        <x:v>0</x:v>
      </x:c>
      <x:c r="K72" s="72" t="n">
        <x:f>K19</x:f>
        <x:v>0</x:v>
      </x:c>
      <x:c r="L72" s="72" t="n">
        <x:f>L19</x:f>
        <x:v>-20000</x:v>
      </x:c>
      <x:c r="M72" s="72" t="n">
        <x:f>M19</x:f>
        <x:v>0</x:v>
      </x:c>
      <x:c r="N72" s="72" t="n">
        <x:f>N19</x:f>
        <x:v>0</x:v>
      </x:c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 ht="15.75" customHeight="1">
      <x:c r="A73" s="16"/>
      <x:c r="B73" s="16" t="s">
        <x:v>70</x:v>
      </x:c>
      <x:c r="C73" s="16"/>
      <x:c r="D73" s="22"/>
      <x:c r="E73" s="29">
        <x:v>170000</x:v>
      </x:c>
      <x:c r="F73" s="29">
        <x:v>0</x:v>
      </x:c>
      <x:c r="G73" s="29">
        <x:v>0</x:v>
      </x:c>
      <x:c r="H73" s="29">
        <x:v>0</x:v>
      </x:c>
      <x:c r="I73" s="29">
        <x:v>0</x:v>
      </x:c>
      <x:c r="J73" s="72" t="n">
        <x:f>J20</x:f>
        <x:v>0</x:v>
      </x:c>
      <x:c r="K73" s="72" t="n">
        <x:f>K20</x:f>
        <x:v>0</x:v>
      </x:c>
      <x:c r="L73" s="72" t="n">
        <x:f>L20</x:f>
        <x:v>0</x:v>
      </x:c>
      <x:c r="M73" s="72" t="n">
        <x:f>M20</x:f>
        <x:v>-150000</x:v>
      </x:c>
      <x:c r="N73" s="72" t="n">
        <x:f>N20</x:f>
        <x:v>0</x:v>
      </x:c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 ht="15.75" customHeight="1">
      <x:c r="A74" s="16"/>
      <x:c r="B74" s="35" t="s">
        <x:v>71</x:v>
      </x:c>
      <x:c r="C74" s="48"/>
      <x:c r="D74" s="49"/>
      <x:c r="E74" s="35" t="n">
        <x:f t="shared" ref="E74:I74" si="35">SUM(E72:E73)</x:f>
        <x:v>170000</x:v>
      </x:c>
      <x:c r="F74" s="35">
        <x:f t="shared" si="35"/>
        <x:v>0</x:v>
      </x:c>
      <x:c r="G74" s="35">
        <x:f t="shared" si="35"/>
        <x:v>-20000</x:v>
      </x:c>
      <x:c r="H74" s="35">
        <x:f t="shared" si="35"/>
        <x:v>0</x:v>
      </x:c>
      <x:c r="I74" s="35">
        <x:f t="shared" si="35"/>
        <x:v>0</x:v>
      </x:c>
      <x:c r="J74" s="75" t="n">
        <x:f>SUM(J72:J73)</x:f>
        <x:v>0</x:v>
      </x:c>
      <x:c r="K74" s="75" t="n">
        <x:f>SUM(K72:K73)</x:f>
        <x:v>0</x:v>
      </x:c>
      <x:c r="L74" s="75" t="n">
        <x:f>SUM(L72:L73)</x:f>
        <x:v>-20000</x:v>
      </x:c>
      <x:c r="M74" s="75" t="n">
        <x:f>SUM(M72:M73)</x:f>
        <x:v>-150000</x:v>
      </x:c>
      <x:c r="N74" s="75" t="n">
        <x:f>SUM(N72:N73)</x:f>
        <x:v>0</x:v>
      </x:c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 ht="15.75" customHeight="1">
      <x:c r="A75" s="16"/>
      <x:c r="B75" s="25"/>
      <x:c r="C75" s="16"/>
      <x:c r="D75" s="22"/>
      <x:c r="E75" s="33"/>
      <x:c r="F75" s="33"/>
      <x:c r="G75" s="33"/>
      <x:c r="H75" s="33"/>
      <x:c r="I75" s="33"/>
      <x:c r="J75" s="74"/>
      <x:c r="K75" s="74"/>
      <x:c r="L75" s="74"/>
      <x:c r="M75" s="74"/>
      <x:c r="N75" s="74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 ht="15.75" customHeight="1">
      <x:c r="A76" s="16"/>
      <x:c r="B76" s="16" t="s">
        <x:v>72</x:v>
      </x:c>
      <x:c r="C76" s="16"/>
      <x:c r="D76" s="22"/>
      <x:c r="E76" s="16" t="n">
        <x:f t="shared" ref="E76:I76" si="36">E65-E69+E74</x:f>
        <x:v>167971.1792</x:v>
      </x:c>
      <x:c r="F76" s="16">
        <x:f t="shared" si="36"/>
        <x:v>13238.733497877969</x:v>
      </x:c>
      <x:c r="G76" s="16">
        <x:f t="shared" si="36"/>
        <x:v>2505.3438851313258</x:v>
      </x:c>
      <x:c r="H76" s="16">
        <x:f t="shared" si="36"/>
        <x:v>27354.07902359531</x:v>
      </x:c>
      <x:c r="I76" s="16">
        <x:f t="shared" si="36"/>
        <x:v>28480.18475858029</x:v>
      </x:c>
      <x:c r="J76" s="72" t="n">
        <x:f>J65-J69+J74</x:f>
        <x:v>26496.944882246564</x:v>
      </x:c>
      <x:c r="K76" s="72" t="n">
        <x:f>K65-K69+K74</x:f>
        <x:v>31136.74097946575</x:v>
      </x:c>
      <x:c r="L76" s="72" t="n">
        <x:f>L65-L69+L74</x:f>
        <x:v>-4166.748543243353</x:v>
      </x:c>
      <x:c r="M76" s="72" t="n">
        <x:f>M65-M69+M74</x:f>
        <x:v>-120532.67850560677</x:v>
      </x:c>
      <x:c r="N76" s="72" t="n">
        <x:f>N65-N69+N74</x:f>
        <x:v>48669.30017341222</x:v>
      </x:c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 ht="15.75" customHeight="1">
      <x:c r="A77" s="16"/>
      <x:c r="B77" s="16" t="s">
        <x:v>73</x:v>
      </x:c>
      <x:c r="C77" s="16"/>
      <x:c r="D77" s="22"/>
      <x:c r="E77" s="16" t="n">
        <x:f>D78</x:f>
        <x:v>0</x:v>
      </x:c>
      <x:c r="F77" s="29">
        <x:v>167971.17920000001</x:v>
      </x:c>
      <x:c r="G77" s="29">
        <x:v>181209.91269787797</x:v>
      </x:c>
      <x:c r="H77" s="29">
        <x:v>183715.25658300929</x:v>
      </x:c>
      <x:c r="I77" s="29">
        <x:v>211069.33560660461</x:v>
      </x:c>
      <x:c r="J77" s="72" t="n">
        <x:f>+I78</x:f>
        <x:v>239549.5203651849</x:v>
      </x:c>
      <x:c r="K77" s="72" t="n">
        <x:f>+J78</x:f>
        <x:v>266046.4652474315</x:v>
      </x:c>
      <x:c r="L77" s="72" t="n">
        <x:f>+K78</x:f>
        <x:v>297183.20622689725</x:v>
      </x:c>
      <x:c r="M77" s="72" t="n">
        <x:f>+L78</x:f>
        <x:v>293016.4576836539</x:v>
      </x:c>
      <x:c r="N77" s="72" t="n">
        <x:f>+M78</x:f>
        <x:v>172483.77917804715</x:v>
      </x:c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 ht="15.75" customHeight="1">
      <x:c r="A78" s="16"/>
      <x:c r="B78" s="35" t="s">
        <x:v>74</x:v>
      </x:c>
      <x:c r="C78" s="48"/>
      <x:c r="D78" s="49"/>
      <x:c r="E78" s="35" t="n">
        <x:f t="shared" ref="E78:I78" si="37">SUM(E76:E77)</x:f>
        <x:v>167971.1792</x:v>
      </x:c>
      <x:c r="F78" s="35">
        <x:f t="shared" si="37"/>
        <x:v>181209.91269787797</x:v>
      </x:c>
      <x:c r="G78" s="35">
        <x:f t="shared" si="37"/>
        <x:v>183715.25658300929</x:v>
      </x:c>
      <x:c r="H78" s="35">
        <x:f t="shared" si="37"/>
        <x:v>211069.33560660461</x:v>
      </x:c>
      <x:c r="I78" s="35">
        <x:f t="shared" si="37"/>
        <x:v>239549.5203651849</x:v>
      </x:c>
      <x:c r="J78" s="75" t="n">
        <x:f>SUM(J76:J77)</x:f>
        <x:v>266046.4652474315</x:v>
      </x:c>
      <x:c r="K78" s="75" t="n">
        <x:f>SUM(K76:K77)</x:f>
        <x:v>297183.20622689725</x:v>
      </x:c>
      <x:c r="L78" s="75" t="n">
        <x:f>SUM(L76:L77)</x:f>
        <x:v>293016.4576836539</x:v>
      </x:c>
      <x:c r="M78" s="75" t="n">
        <x:f>SUM(M76:M77)</x:f>
        <x:v>172483.77917804715</x:v>
      </x:c>
      <x:c r="N78" s="75" t="n">
        <x:f>SUM(N76:N77)</x:f>
        <x:v>221153.07935145937</x:v>
      </x:c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 ht="15.75" customHeight="1">
      <x:c r="A79" s="16"/>
      <x:c r="B79" s="25"/>
      <x:c r="C79" s="16"/>
      <x:c r="D79" s="22"/>
      <x:c r="E79" s="33"/>
      <x:c r="F79" s="29"/>
      <x:c r="G79" s="29"/>
      <x:c r="H79" s="29"/>
      <x:c r="I79" s="29"/>
      <x:c r="J79" s="72"/>
      <x:c r="K79" s="72"/>
      <x:c r="L79" s="72"/>
      <x:c r="M79" s="72"/>
      <x:c r="N79" s="72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 ht="15.75" customHeight="1">
      <x:c r="A80" s="16"/>
      <x:c r="B80" s="30" t="s">
        <x:v>59</x:v>
      </x:c>
      <x:c r="C80" s="45"/>
      <x:c r="D80" s="46"/>
      <x:c r="E80" s="47" t="n">
        <x:f t="shared" ref="E80:N80" si="38">E78-E41</x:f>
        <x:v>0</x:v>
      </x:c>
      <x:c r="F80" s="47">
        <x:f t="shared" si="38"/>
        <x:v>0</x:v>
      </x:c>
      <x:c r="G80" s="47">
        <x:f t="shared" si="38"/>
        <x:v>0</x:v>
      </x:c>
      <x:c r="H80" s="47">
        <x:f t="shared" si="38"/>
        <x:v>0</x:v>
      </x:c>
      <x:c r="I80" s="47">
        <x:f t="shared" si="38"/>
        <x:v>0</x:v>
      </x:c>
      <x:c r="J80" s="78" t="n">
        <x:f t="shared" si="38">J78-J41</x:f>
        <x:v>0</x:v>
      </x:c>
      <x:c r="K80" s="78" t="n">
        <x:f t="shared" si="38">K78-K41</x:f>
        <x:v>0</x:v>
      </x:c>
      <x:c r="L80" s="78" t="n">
        <x:f t="shared" si="38">L78-L41</x:f>
        <x:v>0</x:v>
      </x:c>
      <x:c r="M80" s="78" t="n">
        <x:f t="shared" si="38">M78-M41</x:f>
        <x:v>0</x:v>
      </x:c>
      <x:c r="N80" s="78" t="n">
        <x:f t="shared" si="38">N78-N41</x:f>
        <x:v>0</x:v>
      </x:c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 ht="15.75" customHeight="1">
      <x:c r="A81" s="16"/>
      <x:c r="B81" s="25"/>
      <x:c r="C81" s="16"/>
      <x:c r="D81" s="22"/>
      <x:c r="E81" s="33"/>
      <x:c r="F81" s="29"/>
      <x:c r="G81" s="29"/>
      <x:c r="H81" s="29"/>
      <x:c r="I81" s="29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 ht="15.75" customHeight="1">
      <x:c r="A82" s="16"/>
      <x:c r="B82" s="16"/>
      <x:c r="C82" s="16"/>
      <x:c r="D82" s="22"/>
      <x:c r="E82" s="29"/>
      <x:c r="F82" s="29"/>
      <x:c r="G82" s="29"/>
      <x:c r="H82" s="29"/>
      <x:c r="I82" s="29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 ht="15.75" customHeight="1">
      <x:c r="A83" s="16"/>
      <x:c r="B83" s="24" t="s">
        <x:v>75</x:v>
      </x:c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 ht="15.75" customHeight="1">
      <x:c r="A84" s="16"/>
      <x:c r="B84" s="25" t="s">
        <x:v>76</x:v>
      </x:c>
      <x:c r="C84" s="16"/>
      <x:c r="D84" s="22"/>
      <x:c r="E84" s="16"/>
      <x:c r="F84" s="29"/>
      <x:c r="G84" s="29"/>
      <x:c r="H84" s="29"/>
      <x:c r="I84" s="29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 ht="15.75" customHeight="1">
      <x:c r="A85" s="16"/>
      <x:c r="B85" s="16" t="s">
        <x:v>47</x:v>
      </x:c>
      <x:c r="C85" s="16"/>
      <x:c r="D85" s="22"/>
      <x:c r="E85" s="29">
        <x:v>5100.3500000000004</x:v>
      </x:c>
      <x:c r="F85" s="29">
        <x:v>5904.3</x:v>
      </x:c>
      <x:c r="G85" s="29">
        <x:v>6567.25</x:v>
      </x:c>
      <x:c r="H85" s="29">
        <x:v>7117.05</x:v>
      </x:c>
      <x:c r="I85" s="29">
        <x:v>7538.6</x:v>
      </x:c>
      <x:c r="J85" s="72" t="n">
        <x:f t="shared" ref="J85:N85" si="39">J42</x:f>
        <x:v>8757.168219178084</x:v>
      </x:c>
      <x:c r="K85" s="72" t="n">
        <x:f t="shared" si="39">K42</x:f>
        <x:v>10114.529293150686</x:v>
      </x:c>
      <x:c r="L85" s="72" t="n">
        <x:f t="shared" si="39">L42</x:f>
        <x:v>10891.50904339726</x:v>
      </x:c>
      <x:c r="M85" s="72" t="n">
        <x:f t="shared" si="39">M42</x:f>
        <x:v>12075.368722027397</x:v>
      </x:c>
      <x:c r="N85" s="72" t="n">
        <x:f t="shared" si="39">N42</x:f>
        <x:v>9853.500877174358</x:v>
      </x:c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 ht="15.75" customHeight="1">
      <x:c r="A86" s="16"/>
      <x:c r="B86" s="16" t="s">
        <x:v>48</x:v>
      </x:c>
      <x:c r="C86" s="16"/>
      <x:c r="D86" s="22"/>
      <x:c r="E86" s="29">
        <x:v>7804.6</x:v>
      </x:c>
      <x:c r="F86" s="29">
        <x:v>9600.8000000000011</x:v>
      </x:c>
      <x:c r="G86" s="29">
        <x:v>9824.6</x:v>
      </x:c>
      <x:c r="H86" s="29">
        <x:v>10530.800000000001</x:v>
      </x:c>
      <x:c r="I86" s="29">
        <x:v>11342</x:v>
      </x:c>
      <x:c r="J86" s="72" t="n">
        <x:f t="shared" ref="J86:N86" si="40">J43</x:f>
        <x:v>12478.964712328767</x:v>
      </x:c>
      <x:c r="K86" s="72" t="n">
        <x:f t="shared" si="40">K43</x:f>
        <x:v>14712.04260821918</x:v>
      </x:c>
      <x:c r="L86" s="72" t="n">
        <x:f t="shared" si="40">L43</x:f>
        <x:v>16905.516210838356</x:v>
      </x:c>
      <x:c r="M86" s="72" t="n">
        <x:f t="shared" si="40">M43</x:f>
        <x:v>19562.097329684384</x:v>
      </x:c>
      <x:c r="N86" s="72" t="n">
        <x:f t="shared" si="40">N43</x:f>
        <x:v>14041.238749973461</x:v>
      </x:c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 ht="15.75" customHeight="1">
      <x:c r="A87" s="16"/>
      <x:c r="B87" s="16" t="s">
        <x:v>52</x:v>
      </x:c>
      <x:c r="C87" s="16"/>
      <x:c r="D87" s="22"/>
      <x:c r="E87" s="29">
        <x:v>3902.3</x:v>
      </x:c>
      <x:c r="F87" s="29">
        <x:v>4800.4000000000005</x:v>
      </x:c>
      <x:c r="G87" s="29">
        <x:v>4912.3</x:v>
      </x:c>
      <x:c r="H87" s="29">
        <x:v>5265.4000000000005</x:v>
      </x:c>
      <x:c r="I87" s="29">
        <x:v>5671</x:v>
      </x:c>
      <x:c r="J87" s="72" t="n">
        <x:f t="shared" ref="J87:N87" si="41">J48</x:f>
        <x:v>5823.516865753424</x:v>
      </x:c>
      <x:c r="K87" s="72" t="n">
        <x:f t="shared" si="41">K48</x:f>
        <x:v>5517.015978082192</x:v>
      </x:c>
      <x:c r="L87" s="72" t="n">
        <x:f t="shared" si="41">L48</x:f>
        <x:v>4972.210650246575</x:v>
      </x:c>
      <x:c r="M87" s="72" t="n">
        <x:f t="shared" si="41">M48</x:f>
        <x:v>4347.132739929863</x:v>
      </x:c>
      <x:c r="N87" s="72" t="n">
        <x:f t="shared" si="41">N48</x:f>
        <x:v>6552.578083320948</x:v>
      </x:c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 ht="15.75" customHeight="1">
      <x:c r="A88" s="16"/>
      <x:c r="B88" s="48" t="s">
        <x:v>77</x:v>
      </x:c>
      <x:c r="C88" s="48"/>
      <x:c r="D88" s="49"/>
      <x:c r="E88" s="48" t="n">
        <x:f t="shared" ref="E88:N88" si="42">E85+E86-E87</x:f>
        <x:v>9002.650000000001</x:v>
      </x:c>
      <x:c r="F88" s="48">
        <x:f t="shared" si="42"/>
        <x:v>10704.7</x:v>
      </x:c>
      <x:c r="G88" s="48">
        <x:f t="shared" si="42"/>
        <x:v>11479.55</x:v>
      </x:c>
      <x:c r="H88" s="48">
        <x:f t="shared" si="42"/>
        <x:v>12382.45</x:v>
      </x:c>
      <x:c r="I88" s="48">
        <x:f t="shared" si="42"/>
        <x:v>13209.599999999999</x:v>
      </x:c>
      <x:c r="J88" s="80" t="n">
        <x:f t="shared" si="42">J85+J86-J87</x:f>
        <x:v>15412.616065753427</x:v>
      </x:c>
      <x:c r="K88" s="80" t="n">
        <x:f t="shared" si="42">K85+K86-K87</x:f>
        <x:v>19309.555923287677</x:v>
      </x:c>
      <x:c r="L88" s="80" t="n">
        <x:f t="shared" si="42">L85+L86-L87</x:f>
        <x:v>22824.81460398904</x:v>
      </x:c>
      <x:c r="M88" s="80" t="n">
        <x:f t="shared" si="42">M85+M86-M87</x:f>
        <x:v>27290.333311781917</x:v>
      </x:c>
      <x:c r="N88" s="80" t="n">
        <x:f t="shared" si="42">N85+N86-N87</x:f>
        <x:v>17342.16154382687</x:v>
      </x:c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 ht="15.75" customHeight="1">
      <x:c r="A89" s="16"/>
      <x:c r="B89" s="16" t="s">
        <x:v>78</x:v>
      </x:c>
      <x:c r="C89" s="16"/>
      <x:c r="D89" s="22"/>
      <x:c r="E89" s="16" t="n">
        <x:f t="shared" ref="E89:N89" si="43">E88-D88</x:f>
        <x:v>9002.650000000001</x:v>
      </x:c>
      <x:c r="F89" s="16">
        <x:f t="shared" si="43"/>
        <x:v>1702.0499999999993</x:v>
      </x:c>
      <x:c r="G89" s="16">
        <x:f t="shared" si="43"/>
        <x:v>774.84999999999854</x:v>
      </x:c>
      <x:c r="H89" s="16">
        <x:f t="shared" si="43"/>
        <x:v>902.90000000000146</x:v>
      </x:c>
      <x:c r="I89" s="16">
        <x:f t="shared" si="43"/>
        <x:v>827.14999999999782</x:v>
      </x:c>
      <x:c r="J89" s="72" t="n">
        <x:f t="shared" si="43">J88-I88</x:f>
        <x:v>2203.016065753429</x:v>
      </x:c>
      <x:c r="K89" s="72" t="n">
        <x:f t="shared" si="43">K88-J88</x:f>
        <x:v>3896.9398575342493</x:v>
      </x:c>
      <x:c r="L89" s="72" t="n">
        <x:f t="shared" si="43">L88-K88</x:f>
        <x:v>3515.258680701365</x:v>
      </x:c>
      <x:c r="M89" s="72" t="n">
        <x:f t="shared" si="43">M88-L88</x:f>
        <x:v>4465.518707792875</x:v>
      </x:c>
      <x:c r="N89" s="72" t="n">
        <x:f t="shared" si="43">N88-M88</x:f>
        <x:v>-9948.171767955046</x:v>
      </x:c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 ht="15.75" customHeight="1">
      <x:c r="A90" s="16"/>
      <x:c r="B90" s="16"/>
      <x:c r="C90" s="16"/>
      <x:c r="D90" s="22"/>
      <x:c r="E90" s="29"/>
      <x:c r="F90" s="29"/>
      <x:c r="G90" s="29"/>
      <x:c r="H90" s="29"/>
      <x:c r="I90" s="29"/>
      <x:c r="J90" s="72"/>
      <x:c r="K90" s="72"/>
      <x:c r="L90" s="72"/>
      <x:c r="M90" s="72"/>
      <x:c r="N90" s="72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 ht="15.75" customHeight="1">
      <x:c r="A91" s="16"/>
      <x:c r="B91" s="25" t="s">
        <x:v>79</x:v>
      </x:c>
      <x:c r="C91" s="16"/>
      <x:c r="D91" s="22"/>
      <x:c r="E91" s="29"/>
      <x:c r="F91" s="29"/>
      <x:c r="G91" s="29"/>
      <x:c r="H91" s="29"/>
      <x:c r="I91" s="29"/>
      <x:c r="J91" s="72"/>
      <x:c r="K91" s="72"/>
      <x:c r="L91" s="72"/>
      <x:c r="M91" s="72"/>
      <x:c r="N91" s="72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 ht="15.75" customHeight="1">
      <x:c r="A92" s="16"/>
      <x:c r="B92" s="16" t="s">
        <x:v>80</x:v>
      </x:c>
      <x:c r="C92" s="16"/>
      <x:c r="D92" s="22"/>
      <x:c r="E92" s="29">
        <x:v>50000</x:v>
      </x:c>
      <x:c r="F92" s="29">
        <x:v>45500</x:v>
      </x:c>
      <x:c r="G92" s="29">
        <x:v>42350</x:v>
      </x:c>
      <x:c r="H92" s="29">
        <x:v>40145</x:v>
      </x:c>
      <x:c r="I92" s="29">
        <x:v>38601.5</x:v>
      </x:c>
      <x:c r="J92" s="72" t="n">
        <x:f t="shared" ref="J92:N92" si="44">I95</x:f>
        <x:v>37521.05</x:v>
      </x:c>
      <x:c r="K92" s="72" t="n">
        <x:f t="shared" si="44">J95</x:f>
        <x:v>39388.6825</x:v>
      </x:c>
      <x:c r="L92" s="72" t="n">
        <x:f t="shared" si="44">K95</x:f>
        <x:v>35602.643625000004</x:v>
      </x:c>
      <x:c r="M92" s="72" t="n">
        <x:f t="shared" si="44">L95</x:f>
        <x:v>48141.71835625</x:v>
      </x:c>
      <x:c r="N92" s="72" t="n">
        <x:f t="shared" si="44">M95</x:f>
        <x:v>41292.1169315625</x:v>
      </x:c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 ht="15.75" customHeight="1">
      <x:c r="A93" s="16"/>
      <x:c r="B93" s="16" t="s">
        <x:v>81</x:v>
      </x:c>
      <x:c r="C93" s="16"/>
      <x:c r="D93" s="22"/>
      <x:c r="E93" s="29">
        <x:v>15000</x:v>
      </x:c>
      <x:c r="F93" s="29">
        <x:v>15000</x:v>
      </x:c>
      <x:c r="G93" s="29">
        <x:v>15000</x:v>
      </x:c>
      <x:c r="H93" s="29">
        <x:v>15000</x:v>
      </x:c>
      <x:c r="I93" s="29">
        <x:v>15000</x:v>
      </x:c>
      <x:c r="J93" s="72" t="n">
        <x:f t="shared" ref="J93:N93" si="45">+J18</x:f>
        <x:v>15000</x:v>
      </x:c>
      <x:c r="K93" s="72" t="n">
        <x:f t="shared" si="45">+K18</x:f>
        <x:v>10000</x:v>
      </x:c>
      <x:c r="L93" s="72" t="n">
        <x:f t="shared" si="45">+L18</x:f>
        <x:v>25000</x:v>
      </x:c>
      <x:c r="M93" s="72" t="n">
        <x:f t="shared" si="45">+M18</x:f>
        <x:v>10000</x:v>
      </x:c>
      <x:c r="N93" s="72" t="n">
        <x:f t="shared" si="45">+N18</x:f>
        <x:v>15000</x:v>
      </x:c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 ht="15.75" customHeight="1">
      <x:c r="A94" s="16"/>
      <x:c r="B94" s="16" t="s">
        <x:v>82</x:v>
      </x:c>
      <x:c r="C94" s="16"/>
      <x:c r="E94" s="29">
        <x:v>19500</x:v>
      </x:c>
      <x:c r="F94" s="29">
        <x:v>18150</x:v>
      </x:c>
      <x:c r="G94" s="29">
        <x:v>17205</x:v>
      </x:c>
      <x:c r="H94" s="29">
        <x:v>16543.5</x:v>
      </x:c>
      <x:c r="I94" s="29">
        <x:v>16080.449999999999</x:v>
      </x:c>
      <x:c r="J94" s="72" t="n">
        <x:f t="shared" ref="J94:N94" si="46">J92*J11</x:f>
        <x:v>13132.3675</x:v>
      </x:c>
      <x:c r="K94" s="72" t="n">
        <x:f t="shared" si="46">K92*K11</x:f>
        <x:v>13786.038875</x:v>
      </x:c>
      <x:c r="L94" s="72" t="n">
        <x:f t="shared" si="46">L92*L11</x:f>
        <x:v>12460.925268750001</x:v>
      </x:c>
      <x:c r="M94" s="72" t="n">
        <x:f t="shared" si="46">M92*M11</x:f>
        <x:v>16849.6014246875</x:v>
      </x:c>
      <x:c r="N94" s="72" t="n">
        <x:f t="shared" si="46">N92*N11</x:f>
        <x:v>14452.240926046874</x:v>
      </x:c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 ht="15.75" customHeight="1">
      <x:c r="A95" s="16"/>
      <x:c r="B95" s="48" t="s">
        <x:v>83</x:v>
      </x:c>
      <x:c r="C95" s="48"/>
      <x:c r="D95" s="49"/>
      <x:c r="E95" s="48" t="n">
        <x:f t="shared" ref="E95:N95" si="47">E92+E93-E94</x:f>
        <x:v>45500</x:v>
      </x:c>
      <x:c r="F95" s="48">
        <x:f t="shared" si="47"/>
        <x:v>42350</x:v>
      </x:c>
      <x:c r="G95" s="48">
        <x:f t="shared" si="47"/>
        <x:v>40145</x:v>
      </x:c>
      <x:c r="H95" s="48">
        <x:f t="shared" si="47"/>
        <x:v>38601.5</x:v>
      </x:c>
      <x:c r="I95" s="48">
        <x:f t="shared" si="47"/>
        <x:v>37521.050000000003</x:v>
      </x:c>
      <x:c r="J95" s="80" t="n">
        <x:f t="shared" si="47">J92+J93-J94</x:f>
        <x:v>39388.6825</x:v>
      </x:c>
      <x:c r="K95" s="80" t="n">
        <x:f t="shared" si="47">K92+K93-K94</x:f>
        <x:v>35602.643625000004</x:v>
      </x:c>
      <x:c r="L95" s="80" t="n">
        <x:f t="shared" si="47">L92+L93-L94</x:f>
        <x:v>48141.71835625</x:v>
      </x:c>
      <x:c r="M95" s="80" t="n">
        <x:f t="shared" si="47">M92+M93-M94</x:f>
        <x:v>41292.1169315625</x:v>
      </x:c>
      <x:c r="N95" s="80" t="n">
        <x:f t="shared" si="47">N92+N93-N94</x:f>
        <x:v>41839.87600551563</x:v>
      </x:c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 ht="15.75" customHeight="1">
      <x:c r="A96" s="16"/>
      <x:c r="B96" s="16"/>
      <x:c r="C96" s="16"/>
      <x:c r="D96" s="22"/>
      <x:c r="E96" s="29"/>
      <x:c r="F96" s="29"/>
      <x:c r="G96" s="29"/>
      <x:c r="H96" s="29"/>
      <x:c r="I96" s="29"/>
      <x:c r="J96" s="77"/>
      <x:c r="K96" s="77"/>
      <x:c r="L96" s="77"/>
      <x:c r="M96" s="77"/>
      <x:c r="N96" s="77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 ht="15.75" customHeight="1">
      <x:c r="A97" s="16"/>
      <x:c r="B97" s="25" t="s">
        <x:v>84</x:v>
      </x:c>
      <x:c r="C97" s="16"/>
      <x:c r="D97" s="22"/>
      <x:c r="E97" s="29"/>
      <x:c r="F97" s="29"/>
      <x:c r="G97" s="29"/>
      <x:c r="H97" s="29"/>
      <x:c r="I97" s="29"/>
      <x:c r="J97" s="72"/>
      <x:c r="K97" s="72"/>
      <x:c r="L97" s="72"/>
      <x:c r="M97" s="72"/>
      <x:c r="N97" s="72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 ht="15.75" customHeight="1">
      <x:c r="A98" s="16"/>
      <x:c r="B98" s="16" t="s">
        <x:v>85</x:v>
      </x:c>
      <x:c r="C98" s="16"/>
      <x:c r="D98" s="22"/>
      <x:c r="E98" s="29">
        <x:v>50000</x:v>
      </x:c>
      <x:c r="F98" s="29">
        <x:v>50000</x:v>
      </x:c>
      <x:c r="G98" s="29">
        <x:v>50000</x:v>
      </x:c>
      <x:c r="H98" s="29">
        <x:v>30000</x:v>
      </x:c>
      <x:c r="I98" s="29">
        <x:v>30000</x:v>
      </x:c>
      <x:c r="J98" s="72" t="n">
        <x:f t="shared" ref="J98:N98" si="48">I100</x:f>
        <x:v>30000</x:v>
      </x:c>
      <x:c r="K98" s="72" t="n">
        <x:f t="shared" si="48">J100</x:f>
        <x:v>30000</x:v>
      </x:c>
      <x:c r="L98" s="72" t="n">
        <x:f t="shared" si="48">K100</x:f>
        <x:v>30000</x:v>
      </x:c>
      <x:c r="M98" s="72" t="n">
        <x:f t="shared" si="48">L100</x:f>
        <x:v>10000</x:v>
      </x:c>
      <x:c r="N98" s="72" t="n">
        <x:f t="shared" si="48">M100</x:f>
        <x:v>10000</x:v>
      </x:c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 ht="15.75" customHeight="1">
      <x:c r="A99" s="16"/>
      <x:c r="B99" s="16" t="s">
        <x:v>86</x:v>
      </x:c>
      <x:c r="C99" s="16"/>
      <x:c r="D99" s="22"/>
      <x:c r="E99" s="29">
        <x:v>0</x:v>
      </x:c>
      <x:c r="F99" s="29">
        <x:v>0</x:v>
      </x:c>
      <x:c r="G99" s="29">
        <x:v>-20000</x:v>
      </x:c>
      <x:c r="H99" s="29">
        <x:v>0</x:v>
      </x:c>
      <x:c r="I99" s="29">
        <x:v>0</x:v>
      </x:c>
      <x:c r="J99" s="72" t="n">
        <x:f t="shared" ref="J99:N99" si="49">+J19</x:f>
        <x:v>0</x:v>
      </x:c>
      <x:c r="K99" s="72" t="n">
        <x:f t="shared" si="49">+K19</x:f>
        <x:v>0</x:v>
      </x:c>
      <x:c r="L99" s="72" t="n">
        <x:f t="shared" si="49">+L19</x:f>
        <x:v>-20000</x:v>
      </x:c>
      <x:c r="M99" s="72" t="n">
        <x:f t="shared" si="49">+M19</x:f>
        <x:v>0</x:v>
      </x:c>
      <x:c r="N99" s="72" t="n">
        <x:f t="shared" si="49">+N19</x:f>
        <x:v>0</x:v>
      </x:c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 ht="15.75" customHeight="1">
      <x:c r="A100" s="16"/>
      <x:c r="B100" s="48" t="s">
        <x:v>87</x:v>
      </x:c>
      <x:c r="C100" s="48"/>
      <x:c r="D100" s="49"/>
      <x:c r="E100" s="48" t="n">
        <x:f t="shared" ref="E100:N100" si="50">SUM(E98:E99)</x:f>
        <x:v>50000</x:v>
      </x:c>
      <x:c r="F100" s="48">
        <x:f t="shared" si="50"/>
        <x:v>50000</x:v>
      </x:c>
      <x:c r="G100" s="48">
        <x:f t="shared" si="50"/>
        <x:v>30000</x:v>
      </x:c>
      <x:c r="H100" s="48">
        <x:f t="shared" si="50"/>
        <x:v>30000</x:v>
      </x:c>
      <x:c r="I100" s="48">
        <x:f t="shared" si="50"/>
        <x:v>30000</x:v>
      </x:c>
      <x:c r="J100" s="80" t="n">
        <x:f t="shared" si="50">SUM(J98:J99)</x:f>
        <x:v>30000</x:v>
      </x:c>
      <x:c r="K100" s="80" t="n">
        <x:f t="shared" si="50">SUM(K98:K99)</x:f>
        <x:v>30000</x:v>
      </x:c>
      <x:c r="L100" s="80" t="n">
        <x:f t="shared" si="50">SUM(L98:L99)</x:f>
        <x:v>10000</x:v>
      </x:c>
      <x:c r="M100" s="80" t="n">
        <x:f t="shared" si="50">SUM(M98:M99)</x:f>
        <x:v>10000</x:v>
      </x:c>
      <x:c r="N100" s="80" t="n">
        <x:f t="shared" si="50">SUM(N98:N99)</x:f>
        <x:v>10000</x:v>
      </x:c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 ht="15.75" customHeight="1">
      <x:c r="A101" s="16"/>
      <x:c r="B101" s="16" t="s">
        <x:v>88</x:v>
      </x:c>
      <x:c r="C101" s="16"/>
      <x:c r="E101" s="29">
        <x:v>2500</x:v>
      </x:c>
      <x:c r="F101" s="29">
        <x:v>2500</x:v>
      </x:c>
      <x:c r="G101" s="29">
        <x:v>1500</x:v>
      </x:c>
      <x:c r="H101" s="29">
        <x:v>900</x:v>
      </x:c>
      <x:c r="I101" s="29">
        <x:v>900</x:v>
      </x:c>
      <x:c r="J101" s="72" t="n">
        <x:f t="shared" ref="J101:N101" si="51">J98*J12</x:f>
        <x:v>1500</x:v>
      </x:c>
      <x:c r="K101" s="72" t="n">
        <x:f t="shared" si="51">K98*K12</x:f>
        <x:v>1500</x:v>
      </x:c>
      <x:c r="L101" s="72" t="n">
        <x:f t="shared" si="51">L98*L12</x:f>
        <x:v>1500</x:v>
      </x:c>
      <x:c r="M101" s="72" t="n">
        <x:f t="shared" si="51">M98*M12</x:f>
        <x:v>500</x:v>
      </x:c>
      <x:c r="N101" s="72" t="n">
        <x:f t="shared" si="51">N98*N12</x:f>
        <x:v>500</x:v>
      </x:c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 ht="15.75" customHeight="1">
      <x:c r="A102" s="16"/>
      <x:c r="B102" s="16"/>
      <x:c r="C102" s="16"/>
      <x:c r="D102" s="22"/>
      <x:c r="E102" s="29"/>
      <x:c r="F102" s="29"/>
      <x:c r="G102" s="28"/>
      <x:c r="H102" s="29"/>
      <x:c r="I102" s="29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 ht="15.75" customHeight="1">
      <x:c r="A103" s="16"/>
      <x:c r="B103" s="16"/>
      <x:c r="C103" s="16"/>
      <x:c r="D103" s="22"/>
      <x:c r="E103" s="29"/>
      <x:c r="F103" s="29"/>
      <x:c r="G103" s="29"/>
      <x:c r="H103" s="29"/>
      <x:c r="I103" s="29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 ht="15.75" customHeight="1">
      <x:c r="A104" s="16"/>
      <x:c r="B104" s="16"/>
      <x:c r="C104" s="16"/>
      <x:c r="D104" s="22"/>
      <x:c r="E104" s="29"/>
      <x:c r="F104" s="29"/>
      <x:c r="G104" s="29"/>
      <x:c r="H104" s="29"/>
      <x:c r="I104" s="29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 ht="15.75" customHeight="1">
      <x:c r="A105" s="16"/>
      <x:c r="B105" s="24" t="s">
        <x:v>89</x:v>
      </x:c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 ht="15.75" customHeight="1">
      <x:c r="A106" s="16"/>
      <x:c r="B106" s="16"/>
      <x:c r="C106" s="16"/>
      <x:c r="D106" s="22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 ht="15.75" customHeight="1">
      <x:c r="A107" s="16"/>
      <x:c r="B107" s="16"/>
      <x:c r="C107" s="16"/>
      <x:c r="D107" s="22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 ht="15.75" customHeight="1">
      <x:c r="A108" s="16"/>
      <x:c r="B108" s="16"/>
      <x:c r="C108" s="16"/>
      <x:c r="D108" s="22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 ht="15.75" customHeight="1">
      <x:c r="A109" s="16"/>
      <x:c r="B109" s="16"/>
      <x:c r="C109" s="16"/>
      <x:c r="D109" s="22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 ht="15.75" customHeight="1">
      <x:c r="A110" s="16"/>
      <x:c r="B110" s="16"/>
      <x:c r="C110" s="16"/>
      <x:c r="D110" s="22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 ht="15.75" customHeight="1">
      <x:c r="A111" s="16"/>
      <x:c r="B111" s="16"/>
      <x:c r="C111" s="16"/>
      <x:c r="D111" s="22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 ht="15.75" customHeight="1">
      <x:c r="A112" s="16"/>
      <x:c r="B112" s="16"/>
      <x:c r="C112" s="16"/>
      <x:c r="D112" s="22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 ht="15.75" customHeight="1">
      <x:c r="A113" s="16"/>
      <x:c r="B113" s="16"/>
      <x:c r="C113" s="16"/>
      <x:c r="D113" s="22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 ht="15.75" customHeight="1">
      <x:c r="A114" s="16"/>
      <x:c r="B114" s="16"/>
      <x:c r="C114" s="16"/>
      <x:c r="D114" s="22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 ht="15.75" customHeight="1">
      <x:c r="A115" s="16"/>
      <x:c r="B115" s="16"/>
      <x:c r="C115" s="16"/>
      <x:c r="D115" s="22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 ht="15.75" customHeight="1">
      <x:c r="A116" s="16"/>
      <x:c r="B116" s="16"/>
      <x:c r="C116" s="16"/>
      <x:c r="D116" s="22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 ht="15.75" customHeight="1">
      <x:c r="A117" s="16"/>
      <x:c r="B117" s="16"/>
      <x:c r="C117" s="16"/>
      <x:c r="D117" s="22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 ht="15.75" customHeight="1">
      <x:c r="A118" s="16"/>
      <x:c r="B118" s="16"/>
      <x:c r="C118" s="50"/>
      <x:c r="D118" s="50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 ht="15.75" customHeight="1">
      <x:c r="A119" s="16"/>
      <x:c r="B119" s="50"/>
      <x:c r="C119" s="50"/>
      <x:c r="D119" s="50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 ht="15.75" customHeight="1">
      <x:c r="A120" s="16"/>
      <x:c r="B120" s="16"/>
      <x:c r="C120" s="16"/>
      <x:c r="D120" s="22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 ht="15.75" customHeight="1">
      <x:c r="A121" s="16"/>
      <x:c r="B121" s="16" t="s">
        <x:v>90</x:v>
      </x:c>
      <x:c r="C121" s="16"/>
      <x:c r="D121" s="22"/>
      <x:c r="E121" s="16" t="n">
        <x:f t="shared" ref="E121:I121" si="52">E24</x:f>
        <x:v>102007</x:v>
      </x:c>
      <x:c r="F121" s="16">
        <x:f t="shared" si="52"/>
        <x:v>118086</x:v>
      </x:c>
      <x:c r="G121" s="16">
        <x:f t="shared" si="52"/>
        <x:v>131345</x:v>
      </x:c>
      <x:c r="H121" s="16">
        <x:f t="shared" si="52"/>
        <x:v>142341</x:v>
      </x:c>
      <x:c r="I121" s="16">
        <x:f t="shared" si="52"/>
        <x:v>150772</x:v>
      </x:c>
      <x:c r="J121" s="16" t="n">
        <x:f>J24</x:f>
        <x:v>159818.32</x:v>
      </x:c>
      <x:c r="K121" s="16" t="n">
        <x:f>K24</x:f>
        <x:v>167809.236</x:v>
      </x:c>
      <x:c r="L121" s="16" t="n">
        <x:f>L24</x:f>
        <x:v>172843.51308</x:v>
      </x:c>
      <x:c r="M121" s="16" t="n">
        <x:f>M24</x:f>
        <x:v>176300.3833416</x:v>
      </x:c>
      <x:c r="N121" s="16" t="n">
        <x:f>N24</x:f>
        <x:v>179826.39100843202</x:v>
      </x:c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 ht="15.75" customHeight="1">
      <x:c r="A122" s="16"/>
      <x:c r="B122" s="16" t="s">
        <x:v>35</x:v>
      </x:c>
      <x:c r="C122" s="16"/>
      <x:c r="D122" s="22"/>
      <x:c r="E122" s="16" t="n">
        <x:f t="shared" ref="E122:I122" si="53">E26</x:f>
        <x:v>62984</x:v>
      </x:c>
      <x:c r="F122" s="16">
        <x:f t="shared" si="53"/>
        <x:v>70082</x:v>
      </x:c>
      <x:c r="G122" s="16">
        <x:f t="shared" si="53"/>
        <x:v>82222</x:v>
      </x:c>
      <x:c r="H122" s="16">
        <x:f t="shared" si="53"/>
        <x:v>89087</x:v>
      </x:c>
      <x:c r="I122" s="16">
        <x:f t="shared" si="53"/>
        <x:v>93462</x:v>
      </x:c>
      <x:c r="J122" s="16" t="n">
        <x:f>J26</x:f>
        <x:v>99087.3584</x:v>
      </x:c>
      <x:c r="K122" s="16" t="n">
        <x:f>K26</x:f>
        <x:v>100685.5416</x:v>
      </x:c>
      <x:c r="L122" s="16" t="n">
        <x:f>L26</x:f>
        <x:v>100249.2375864</x:v>
      </x:c>
      <x:c r="M122" s="16" t="n">
        <x:f>M26</x:f>
        <x:v>96965.21083788</x:v>
      </x:c>
      <x:c r="N122" s="16" t="n">
        <x:f>N26</x:f>
        <x:v>111492.36242522785</x:v>
      </x:c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 ht="15.75" customHeight="1">
      <x:c r="A123" s="16"/>
      <x:c r="B123" s="16" t="s">
        <x:v>91</x:v>
      </x:c>
      <x:c r="C123" s="16"/>
      <x:c r="D123" s="22"/>
      <x:c r="E123" s="16" t="n">
        <x:f t="shared" ref="E123:I123" si="54">E33</x:f>
        <x:v>3594</x:v>
      </x:c>
      <x:c r="F123" s="16">
        <x:f t="shared" si="54"/>
        <x:v>16649</x:v>
      </x:c>
      <x:c r="G123" s="16">
        <x:f t="shared" si="54"/>
        <x:v>29558</x:v>
      </x:c>
      <x:c r="H123" s="16">
        <x:f t="shared" si="54"/>
        <x:v>37621.5</x:v>
      </x:c>
      <x:c r="I123" s="16">
        <x:f t="shared" si="54"/>
        <x:v>39824.550000000003</x:v>
      </x:c>
      <x:c r="J123" s="16" t="n">
        <x:f>J33</x:f>
        <x:v>42454.9909</x:v>
      </x:c>
      <x:c r="K123" s="16" t="n">
        <x:f>K33</x:f>
        <x:v>43399.502725</x:v>
      </x:c>
      <x:c r="L123" s="16" t="n">
        <x:f>L33</x:f>
        <x:v>44288.31231765001</x:v>
      </x:c>
      <x:c r="M123" s="16" t="n">
        <x:f>M33</x:f>
        <x:v>37615.609413192506</x:v>
      </x:c>
      <x:c r="N123" s="16" t="n">
        <x:f>N33</x:f>
        <x:v>54540.12149918098</x:v>
      </x:c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 ht="15.75" customHeight="1">
      <x:c r="A124" s="16"/>
      <x:c r="B124" s="16"/>
      <x:c r="C124" s="16"/>
      <x:c r="D124" s="22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 ht="15.75" customHeight="1">
      <x:c r="A125" s="16"/>
      <x:c r="B125" s="16" t="s">
        <x:v>61</x:v>
      </x:c>
      <x:c r="C125" s="16"/>
      <x:c r="D125" s="22"/>
      <x:c r="E125" s="16" t="n">
        <x:f t="shared" ref="E125:I125" si="55">E65</x:f>
        <x:v>12971.179199999999</x:v>
      </x:c>
      <x:c r="F125" s="16">
        <x:f t="shared" si="55"/>
        <x:v>28238.733497877969</x:v>
      </x:c>
      <x:c r="G125" s="16">
        <x:f t="shared" si="55"/>
        <x:v>37505.343885131326</x:v>
      </x:c>
      <x:c r="H125" s="16">
        <x:f t="shared" si="55"/>
        <x:v>42354.07902359531</x:v>
      </x:c>
      <x:c r="I125" s="16">
        <x:f t="shared" si="55"/>
        <x:v>43480.18475858029</x:v>
      </x:c>
      <x:c r="J125" s="16" t="n">
        <x:f>J65</x:f>
        <x:v>41496.944882246564</x:v>
      </x:c>
      <x:c r="K125" s="16" t="n">
        <x:f>K65</x:f>
        <x:v>41136.74097946575</x:v>
      </x:c>
      <x:c r="L125" s="16" t="n">
        <x:f>L65</x:f>
        <x:v>40833.25145675665</x:v>
      </x:c>
      <x:c r="M125" s="16" t="n">
        <x:f>M65</x:f>
        <x:v>39467.321494393225</x:v>
      </x:c>
      <x:c r="N125" s="16" t="n">
        <x:f>N65</x:f>
        <x:v>63669.30017341222</x:v>
      </x:c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 ht="15.75" customHeight="1">
      <x:c r="A126" s="16"/>
      <x:c r="B126" s="16" t="s">
        <x:v>65</x:v>
      </x:c>
      <x:c r="C126" s="16"/>
      <x:c r="D126" s="22"/>
      <x:c r="E126" s="16" t="n">
        <x:f t="shared" ref="E126:I126" si="56">-E69</x:f>
        <x:v>-15000</x:v>
      </x:c>
      <x:c r="F126" s="16">
        <x:f t="shared" si="56"/>
        <x:v>-15000</x:v>
      </x:c>
      <x:c r="G126" s="16">
        <x:f t="shared" si="56"/>
        <x:v>-15000</x:v>
      </x:c>
      <x:c r="H126" s="16">
        <x:f t="shared" si="56"/>
        <x:v>-15000</x:v>
      </x:c>
      <x:c r="I126" s="16">
        <x:f t="shared" si="56"/>
        <x:v>-15000</x:v>
      </x:c>
      <x:c r="J126" s="16" t="n">
        <x:f>-J69</x:f>
        <x:v>-15000</x:v>
      </x:c>
      <x:c r="K126" s="16" t="n">
        <x:f>-K69</x:f>
        <x:v>-10000</x:v>
      </x:c>
      <x:c r="L126" s="16" t="n">
        <x:f>-L69</x:f>
        <x:v>-25000</x:v>
      </x:c>
      <x:c r="M126" s="16" t="n">
        <x:f>-M69</x:f>
        <x:v>-10000</x:v>
      </x:c>
      <x:c r="N126" s="16" t="n">
        <x:f>-N69</x:f>
        <x:v>-15000</x:v>
      </x:c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 ht="15.75" customHeight="1">
      <x:c r="A127" s="16"/>
      <x:c r="B127" s="16" t="s">
        <x:v>68</x:v>
      </x:c>
      <x:c r="C127" s="16"/>
      <x:c r="D127" s="22"/>
      <x:c r="E127" s="16" t="n">
        <x:f t="shared" ref="E127:I127" si="57">E74</x:f>
        <x:v>170000</x:v>
      </x:c>
      <x:c r="F127" s="16">
        <x:f t="shared" si="57"/>
        <x:v>0</x:v>
      </x:c>
      <x:c r="G127" s="16">
        <x:f t="shared" si="57"/>
        <x:v>-20000</x:v>
      </x:c>
      <x:c r="H127" s="16">
        <x:f t="shared" si="57"/>
        <x:v>0</x:v>
      </x:c>
      <x:c r="I127" s="16">
        <x:f t="shared" si="57"/>
        <x:v>0</x:v>
      </x:c>
      <x:c r="J127" s="16" t="n">
        <x:f>J74</x:f>
        <x:v>0</x:v>
      </x:c>
      <x:c r="K127" s="16" t="n">
        <x:f>K74</x:f>
        <x:v>0</x:v>
      </x:c>
      <x:c r="L127" s="16" t="n">
        <x:f>L74</x:f>
        <x:v>-20000</x:v>
      </x:c>
      <x:c r="M127" s="16" t="n">
        <x:f>M74</x:f>
        <x:v>-150000</x:v>
      </x:c>
      <x:c r="N127" s="16" t="n">
        <x:f>N74</x:f>
        <x:v>0</x:v>
      </x:c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 ht="15.75" customHeight="1">
      <x:c r="A128" s="16"/>
      <x:c r="B128" s="16"/>
      <x:c r="C128" s="16"/>
      <x:c r="D128" s="22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 ht="15.75" customHeight="1">
      <x:c r="A129" s="16"/>
      <x:c r="B129" s="16"/>
      <x:c r="C129" s="16"/>
      <x:c r="D129" s="22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 ht="15.75" customHeight="1">
      <x:c r="A130" s="16"/>
      <x:c r="B130" s="16"/>
      <x:c r="C130" s="16"/>
      <x:c r="D130" s="22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 ht="15.75" customHeight="1">
      <x:c r="A131" s="16"/>
      <x:c r="B131" s="51" t="s">
        <x:v>92</x:v>
      </x:c>
      <x:c r="C131" s="16"/>
      <x:c r="D131" s="22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 ht="15.75" customHeight="1">
      <x:c r="A132" s="16"/>
      <x:c r="B132" s="50"/>
      <x:c r="C132" s="50"/>
      <x:c r="D132" s="50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 ht="15.75" customHeight="1">
      <x:c r="A133" s="16"/>
      <x:c r="B133" s="50"/>
      <x:c r="C133" s="50"/>
      <x:c r="D133" s="50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 ht="15.75" customHeight="1">
      <x:c r="A134" s="16"/>
      <x:c r="B134" s="50"/>
      <x:c r="C134" s="50"/>
      <x:c r="D134" s="50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 ht="15.75" customHeight="1">
      <x:c r="A135" s="16"/>
      <x:c r="B135" s="50"/>
      <x:c r="C135" s="50"/>
      <x:c r="D135" s="50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 ht="15.75" customHeight="1">
      <x:c r="A136" s="16"/>
      <x:c r="B136" s="50"/>
      <x:c r="C136" s="50"/>
      <x:c r="D136" s="50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 ht="15.75" customHeight="1">
      <x:c r="A137" s="16"/>
      <x:c r="B137" s="50" t="s">
        <x:v>93</x:v>
      </x:c>
      <x:c r="C137" s="52"/>
      <x:c r="D137" s="52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 ht="15.75" customHeight="1">
      <x:c r="A138" s="16"/>
      <x:c r="B138" s="53" t="s">
        <x:v>6</x:v>
      </x:c>
      <x:c r="C138" s="54"/>
      <x:c r="D138" s="54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 ht="15.75" customHeight="1">
      <x:c r="A139" s="16"/>
      <x:c r="B139" s="16"/>
      <x:c r="C139" s="16"/>
      <x:c r="D139" s="22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 ht="15.75" customHeight="1">
      <x:c r="A140" s="16"/>
      <x:c r="B140" s="16"/>
      <x:c r="C140" s="16"/>
      <x:c r="D140" s="22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 ht="15.75" customHeight="1">
      <x:c r="A141" s="16"/>
      <x:c r="B141" s="16"/>
      <x:c r="C141" s="16"/>
      <x:c r="D141" s="22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 ht="15.75" customHeight="1">
      <x:c r="A142" s="16"/>
      <x:c r="B142" s="16"/>
      <x:c r="C142" s="16"/>
      <x:c r="D142" s="22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 ht="15.75" customHeight="1">
      <x:c r="A143" s="16"/>
      <x:c r="B143" s="16"/>
      <x:c r="C143" s="16"/>
      <x:c r="D143" s="22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 ht="15.75" customHeight="1">
      <x:c r="A144" s="16"/>
      <x:c r="B144" s="16"/>
      <x:c r="C144" s="16"/>
      <x:c r="D144" s="22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 ht="15.75" customHeight="1">
      <x:c r="A145" s="16"/>
      <x:c r="B145" s="16"/>
      <x:c r="C145" s="16"/>
      <x:c r="D145" s="22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 ht="15.75" customHeight="1">
      <x:c r="A146" s="16"/>
      <x:c r="B146" s="16"/>
      <x:c r="C146" s="16"/>
      <x:c r="D146" s="22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 ht="15.75" customHeight="1">
      <x:c r="A147" s="16"/>
      <x:c r="B147" s="16"/>
      <x:c r="C147" s="16"/>
      <x:c r="D147" s="22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 ht="15.75" customHeight="1">
      <x:c r="A148" s="16"/>
      <x:c r="B148" s="16"/>
      <x:c r="C148" s="16"/>
      <x:c r="D148" s="22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 ht="15.75" customHeight="1">
      <x:c r="A149" s="16"/>
      <x:c r="B149" s="16"/>
      <x:c r="C149" s="16"/>
      <x:c r="D149" s="22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 ht="15.75" customHeight="1">
      <x:c r="A150" s="16"/>
      <x:c r="B150" s="16"/>
      <x:c r="C150" s="16"/>
      <x:c r="D150" s="22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 ht="15.75" customHeight="1">
      <x:c r="A151" s="16"/>
      <x:c r="B151" s="16"/>
      <x:c r="C151" s="16"/>
      <x:c r="D151" s="22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 ht="15.75" customHeight="1">
      <x:c r="A152" s="16"/>
      <x:c r="B152" s="16"/>
      <x:c r="C152" s="16"/>
      <x:c r="D152" s="22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 ht="15.75" customHeight="1">
      <x:c r="A153" s="16"/>
      <x:c r="B153" s="16"/>
      <x:c r="C153" s="16"/>
      <x:c r="D153" s="22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 ht="15.75" customHeight="1">
      <x:c r="A154" s="16"/>
      <x:c r="B154" s="16"/>
      <x:c r="C154" s="16"/>
      <x:c r="D154" s="22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 ht="15.75" customHeight="1">
      <x:c r="A155" s="16"/>
      <x:c r="B155" s="16"/>
      <x:c r="C155" s="16"/>
      <x:c r="D155" s="22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 ht="15.75" customHeight="1">
      <x:c r="A156" s="16"/>
      <x:c r="B156" s="16"/>
      <x:c r="C156" s="16"/>
      <x:c r="D156" s="22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 ht="15.75" customHeight="1">
      <x:c r="A157" s="16"/>
      <x:c r="B157" s="16"/>
      <x:c r="C157" s="16"/>
      <x:c r="D157" s="22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 ht="15.75" customHeight="1">
      <x:c r="A158" s="16"/>
      <x:c r="B158" s="16"/>
      <x:c r="C158" s="16"/>
      <x:c r="D158" s="22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 ht="15.75" customHeight="1">
      <x:c r="A159" s="16"/>
      <x:c r="B159" s="16"/>
      <x:c r="C159" s="16"/>
      <x:c r="D159" s="22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 ht="15.75" customHeight="1">
      <x:c r="A160" s="16"/>
      <x:c r="B160" s="16"/>
      <x:c r="C160" s="16"/>
      <x:c r="D160" s="22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 ht="15.75" customHeight="1">
      <x:c r="A161" s="16"/>
      <x:c r="B161" s="16"/>
      <x:c r="C161" s="16"/>
      <x:c r="D161" s="22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 ht="15.75" customHeight="1">
      <x:c r="A162" s="16"/>
      <x:c r="B162" s="16"/>
      <x:c r="C162" s="16"/>
      <x:c r="D162" s="22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 ht="15.75" customHeight="1">
      <x:c r="A163" s="16"/>
      <x:c r="B163" s="16"/>
      <x:c r="C163" s="16"/>
      <x:c r="D163" s="22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 ht="15.75" customHeight="1">
      <x:c r="A164" s="16"/>
      <x:c r="B164" s="16"/>
      <x:c r="C164" s="16"/>
      <x:c r="D164" s="22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 ht="15.75" customHeight="1">
      <x:c r="A165" s="16"/>
      <x:c r="B165" s="16"/>
      <x:c r="C165" s="16"/>
      <x:c r="D165" s="22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 ht="15.75" customHeight="1">
      <x:c r="A166" s="16"/>
      <x:c r="B166" s="16"/>
      <x:c r="C166" s="16"/>
      <x:c r="D166" s="22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 ht="15.75" customHeight="1">
      <x:c r="A167" s="16"/>
      <x:c r="B167" s="16"/>
      <x:c r="C167" s="16"/>
      <x:c r="D167" s="22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 ht="15.75" customHeight="1">
      <x:c r="A168" s="16"/>
      <x:c r="B168" s="16"/>
      <x:c r="C168" s="16"/>
      <x:c r="D168" s="22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 ht="15.75" customHeight="1">
      <x:c r="A169" s="16"/>
      <x:c r="B169" s="16"/>
      <x:c r="C169" s="16"/>
      <x:c r="D169" s="22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 ht="15.75" customHeight="1">
      <x:c r="A170" s="16"/>
      <x:c r="B170" s="16"/>
      <x:c r="C170" s="16"/>
      <x:c r="D170" s="22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 ht="15.75" customHeight="1">
      <x:c r="A171" s="16"/>
      <x:c r="B171" s="16"/>
      <x:c r="C171" s="16"/>
      <x:c r="D171" s="22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 ht="15.75" customHeight="1">
      <x:c r="A172" s="16"/>
      <x:c r="B172" s="16"/>
      <x:c r="C172" s="16"/>
      <x:c r="D172" s="22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 ht="15.75" customHeight="1">
      <x:c r="A173" s="16"/>
      <x:c r="B173" s="16"/>
      <x:c r="C173" s="16"/>
      <x:c r="D173" s="22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 ht="15.75" customHeight="1">
      <x:c r="A174" s="16"/>
      <x:c r="B174" s="16"/>
      <x:c r="C174" s="16"/>
      <x:c r="D174" s="22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 ht="15.75" customHeight="1">
      <x:c r="A175" s="16"/>
      <x:c r="B175" s="16"/>
      <x:c r="C175" s="16"/>
      <x:c r="D175" s="22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 ht="15.75" customHeight="1">
      <x:c r="A176" s="16"/>
      <x:c r="B176" s="16"/>
      <x:c r="C176" s="16"/>
      <x:c r="D176" s="22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 ht="15.75" customHeight="1">
      <x:c r="A177" s="16"/>
      <x:c r="B177" s="16"/>
      <x:c r="C177" s="16"/>
      <x:c r="D177" s="22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 ht="15.75" customHeight="1">
      <x:c r="A178" s="16"/>
      <x:c r="B178" s="16"/>
      <x:c r="C178" s="16"/>
      <x:c r="D178" s="22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 ht="15.75" customHeight="1">
      <x:c r="A179" s="16"/>
      <x:c r="B179" s="16"/>
      <x:c r="C179" s="16"/>
      <x:c r="D179" s="22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 ht="15.75" customHeight="1">
      <x:c r="A180" s="16"/>
      <x:c r="B180" s="16"/>
      <x:c r="C180" s="16"/>
      <x:c r="D180" s="22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 ht="15.75" customHeight="1">
      <x:c r="A181" s="16"/>
      <x:c r="B181" s="16"/>
      <x:c r="C181" s="16"/>
      <x:c r="D181" s="22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 ht="15.75" customHeight="1">
      <x:c r="A182" s="16"/>
      <x:c r="B182" s="16"/>
      <x:c r="C182" s="16"/>
      <x:c r="D182" s="22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 ht="15.75" customHeight="1">
      <x:c r="A183" s="16"/>
      <x:c r="B183" s="16"/>
      <x:c r="C183" s="16"/>
      <x:c r="D183" s="22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 ht="15.75" customHeight="1">
      <x:c r="A184" s="16"/>
      <x:c r="B184" s="16"/>
      <x:c r="C184" s="16"/>
      <x:c r="D184" s="22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 ht="15.75" customHeight="1">
      <x:c r="A185" s="16"/>
      <x:c r="B185" s="16"/>
      <x:c r="C185" s="16"/>
      <x:c r="D185" s="22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 ht="15.75" customHeight="1">
      <x:c r="A186" s="16"/>
      <x:c r="B186" s="16"/>
      <x:c r="C186" s="16"/>
      <x:c r="D186" s="22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 ht="15.75" customHeight="1">
      <x:c r="A187" s="16"/>
      <x:c r="B187" s="16"/>
      <x:c r="C187" s="16"/>
      <x:c r="D187" s="22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 ht="15.75" customHeight="1">
      <x:c r="A188" s="16"/>
      <x:c r="B188" s="16"/>
      <x:c r="C188" s="16"/>
      <x:c r="D188" s="22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 ht="15.75" customHeight="1">
      <x:c r="A189" s="16"/>
      <x:c r="B189" s="16"/>
      <x:c r="C189" s="16"/>
      <x:c r="D189" s="22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 ht="15.75" customHeight="1">
      <x:c r="A190" s="16"/>
      <x:c r="B190" s="16"/>
      <x:c r="C190" s="16"/>
      <x:c r="D190" s="22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 ht="15.75" customHeight="1">
      <x:c r="A191" s="16"/>
      <x:c r="B191" s="16"/>
      <x:c r="C191" s="16"/>
      <x:c r="D191" s="22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 ht="15.75" customHeight="1">
      <x:c r="A192" s="16"/>
      <x:c r="B192" s="16"/>
      <x:c r="C192" s="16"/>
      <x:c r="D192" s="22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 ht="15.75" customHeight="1">
      <x:c r="A193" s="16"/>
      <x:c r="B193" s="16"/>
      <x:c r="C193" s="16"/>
      <x:c r="D193" s="22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 ht="15.75" customHeight="1">
      <x:c r="A194" s="16"/>
      <x:c r="B194" s="16"/>
      <x:c r="C194" s="16"/>
      <x:c r="D194" s="22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 ht="15.75" customHeight="1">
      <x:c r="A195" s="16"/>
      <x:c r="B195" s="16"/>
      <x:c r="C195" s="16"/>
      <x:c r="D195" s="22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 ht="15.75" customHeight="1">
      <x:c r="A196" s="16"/>
      <x:c r="B196" s="16"/>
      <x:c r="C196" s="16"/>
      <x:c r="D196" s="22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 ht="15.75" customHeight="1">
      <x:c r="A197" s="16"/>
      <x:c r="B197" s="16"/>
      <x:c r="C197" s="16"/>
      <x:c r="D197" s="22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 ht="15.75" customHeight="1">
      <x:c r="A198" s="16"/>
      <x:c r="B198" s="16"/>
      <x:c r="C198" s="16"/>
      <x:c r="D198" s="22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 ht="15.75" customHeight="1">
      <x:c r="A199" s="16"/>
      <x:c r="B199" s="16"/>
      <x:c r="C199" s="16"/>
      <x:c r="D199" s="22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 ht="15.75" customHeight="1">
      <x:c r="A200" s="16"/>
      <x:c r="B200" s="16"/>
      <x:c r="C200" s="16"/>
      <x:c r="D200" s="22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 ht="15.75" customHeight="1">
      <x:c r="A201" s="16"/>
      <x:c r="B201" s="16"/>
      <x:c r="C201" s="16"/>
      <x:c r="D201" s="22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 ht="15.75" customHeight="1">
      <x:c r="A202" s="16"/>
      <x:c r="B202" s="16"/>
      <x:c r="C202" s="16"/>
      <x:c r="D202" s="22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 ht="15.75" customHeight="1">
      <x:c r="A203" s="16"/>
      <x:c r="B203" s="16"/>
      <x:c r="C203" s="16"/>
      <x:c r="D203" s="22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 ht="15.75" customHeight="1">
      <x:c r="A204" s="16"/>
      <x:c r="B204" s="16"/>
      <x:c r="C204" s="16"/>
      <x:c r="D204" s="22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 ht="15.75" customHeight="1">
      <x:c r="A205" s="16"/>
      <x:c r="B205" s="16"/>
      <x:c r="C205" s="16"/>
      <x:c r="D205" s="22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 ht="15.75" customHeight="1">
      <x:c r="A206" s="16"/>
      <x:c r="B206" s="16"/>
      <x:c r="C206" s="16"/>
      <x:c r="D206" s="22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 ht="15.75" customHeight="1">
      <x:c r="A207" s="16"/>
      <x:c r="B207" s="16"/>
      <x:c r="C207" s="16"/>
      <x:c r="D207" s="22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 ht="15.75" customHeight="1">
      <x:c r="A208" s="16"/>
      <x:c r="B208" s="16"/>
      <x:c r="C208" s="16"/>
      <x:c r="D208" s="22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 ht="15.75" customHeight="1">
      <x:c r="A209" s="16"/>
      <x:c r="B209" s="16"/>
      <x:c r="C209" s="16"/>
      <x:c r="D209" s="22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 ht="15.75" customHeight="1">
      <x:c r="A210" s="16"/>
      <x:c r="B210" s="16"/>
      <x:c r="C210" s="16"/>
      <x:c r="D210" s="22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 ht="15.75" customHeight="1">
      <x:c r="A211" s="16"/>
      <x:c r="B211" s="16"/>
      <x:c r="C211" s="16"/>
      <x:c r="D211" s="22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 ht="15.75" customHeight="1">
      <x:c r="A212" s="16"/>
      <x:c r="B212" s="16"/>
      <x:c r="C212" s="16"/>
      <x:c r="D212" s="22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 ht="15.75" customHeight="1">
      <x:c r="A213" s="16"/>
      <x:c r="B213" s="16"/>
      <x:c r="C213" s="16"/>
      <x:c r="D213" s="22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 ht="15.75" customHeight="1">
      <x:c r="A214" s="16"/>
      <x:c r="B214" s="16"/>
      <x:c r="C214" s="16"/>
      <x:c r="D214" s="22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 ht="15.75" customHeight="1">
      <x:c r="A215" s="16"/>
      <x:c r="B215" s="16"/>
      <x:c r="C215" s="16"/>
      <x:c r="D215" s="22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 ht="15.75" customHeight="1">
      <x:c r="A216" s="16"/>
      <x:c r="B216" s="16"/>
      <x:c r="C216" s="16"/>
      <x:c r="D216" s="22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 ht="15.75" customHeight="1">
      <x:c r="A217" s="16"/>
      <x:c r="B217" s="16"/>
      <x:c r="C217" s="16"/>
      <x:c r="D217" s="22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 ht="15.75" customHeight="1">
      <x:c r="A218" s="16"/>
      <x:c r="B218" s="16"/>
      <x:c r="C218" s="16"/>
      <x:c r="D218" s="22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 ht="15.75" customHeight="1">
      <x:c r="A219" s="16"/>
      <x:c r="B219" s="16"/>
      <x:c r="C219" s="16"/>
      <x:c r="D219" s="22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 ht="15.75" customHeight="1">
      <x:c r="A220" s="16"/>
      <x:c r="B220" s="16"/>
      <x:c r="C220" s="16"/>
      <x:c r="D220" s="22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 ht="15.75" customHeight="1">
      <x:c r="A221" s="16"/>
      <x:c r="B221" s="16"/>
      <x:c r="C221" s="16"/>
      <x:c r="D221" s="22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 ht="15.75" customHeight="1">
      <x:c r="A222" s="16"/>
      <x:c r="B222" s="16"/>
      <x:c r="C222" s="16"/>
      <x:c r="D222" s="22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 ht="15.75" customHeight="1">
      <x:c r="A223" s="16"/>
      <x:c r="B223" s="16"/>
      <x:c r="C223" s="16"/>
      <x:c r="D223" s="22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 ht="15.75" customHeight="1">
      <x:c r="A224" s="16"/>
      <x:c r="B224" s="16"/>
      <x:c r="C224" s="16"/>
      <x:c r="D224" s="22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 ht="15.75" customHeight="1">
      <x:c r="A225" s="16"/>
      <x:c r="B225" s="16"/>
      <x:c r="C225" s="16"/>
      <x:c r="D225" s="22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 ht="15.75" customHeight="1">
      <x:c r="A226" s="16"/>
      <x:c r="B226" s="16"/>
      <x:c r="C226" s="16"/>
      <x:c r="D226" s="22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 ht="15.75" customHeight="1">
      <x:c r="A227" s="16"/>
      <x:c r="B227" s="16"/>
      <x:c r="C227" s="16"/>
      <x:c r="D227" s="22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 ht="15.75" customHeight="1">
      <x:c r="A228" s="16"/>
      <x:c r="B228" s="16"/>
      <x:c r="C228" s="16"/>
      <x:c r="D228" s="22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 ht="15.75" customHeight="1">
      <x:c r="A229" s="16"/>
      <x:c r="B229" s="16"/>
      <x:c r="C229" s="16"/>
      <x:c r="D229" s="22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 ht="15.75" customHeight="1">
      <x:c r="A230" s="16"/>
      <x:c r="B230" s="16"/>
      <x:c r="C230" s="16"/>
      <x:c r="D230" s="22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 ht="15.75" customHeight="1">
      <x:c r="A231" s="16"/>
      <x:c r="B231" s="16"/>
      <x:c r="C231" s="16"/>
      <x:c r="D231" s="22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 ht="15.75" customHeight="1">
      <x:c r="A232" s="16"/>
      <x:c r="B232" s="16"/>
      <x:c r="C232" s="16"/>
      <x:c r="D232" s="22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 ht="15.75" customHeight="1">
      <x:c r="A233" s="16"/>
      <x:c r="B233" s="16"/>
      <x:c r="C233" s="16"/>
      <x:c r="D233" s="22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 ht="15.75" customHeight="1">
      <x:c r="A234" s="16"/>
      <x:c r="B234" s="16"/>
      <x:c r="C234" s="16"/>
      <x:c r="D234" s="22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 ht="15.75" customHeight="1">
      <x:c r="A235" s="16"/>
      <x:c r="B235" s="16"/>
      <x:c r="C235" s="16"/>
      <x:c r="D235" s="22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 ht="15.75" customHeight="1">
      <x:c r="A236" s="16"/>
      <x:c r="B236" s="16"/>
      <x:c r="C236" s="16"/>
      <x:c r="D236" s="22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 ht="15.75" customHeight="1">
      <x:c r="A237" s="16"/>
      <x:c r="B237" s="16"/>
      <x:c r="C237" s="16"/>
      <x:c r="D237" s="22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 ht="15.75" customHeight="1">
      <x:c r="A238" s="16"/>
      <x:c r="B238" s="16"/>
      <x:c r="C238" s="16"/>
      <x:c r="D238" s="22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 ht="15.75" customHeight="1">
      <x:c r="A239" s="16"/>
      <x:c r="B239" s="16"/>
      <x:c r="C239" s="16"/>
      <x:c r="D239" s="22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 ht="15.75" customHeight="1">
      <x:c r="A240" s="16"/>
      <x:c r="B240" s="16"/>
      <x:c r="C240" s="16"/>
      <x:c r="D240" s="22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 ht="15.75" customHeight="1">
      <x:c r="A241" s="16"/>
      <x:c r="B241" s="16"/>
      <x:c r="C241" s="16"/>
      <x:c r="D241" s="22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 ht="15.75" customHeight="1">
      <x:c r="A242" s="16"/>
      <x:c r="B242" s="16"/>
      <x:c r="C242" s="16"/>
      <x:c r="D242" s="22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 ht="15.75" customHeight="1">
      <x:c r="A243" s="16"/>
      <x:c r="B243" s="16"/>
      <x:c r="C243" s="16"/>
      <x:c r="D243" s="22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 ht="15.75" customHeight="1">
      <x:c r="A244" s="16"/>
      <x:c r="B244" s="16"/>
      <x:c r="C244" s="16"/>
      <x:c r="D244" s="22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 ht="15.75" customHeight="1">
      <x:c r="A245" s="16"/>
      <x:c r="B245" s="16"/>
      <x:c r="C245" s="16"/>
      <x:c r="D245" s="22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 ht="15.75" customHeight="1">
      <x:c r="A246" s="16"/>
      <x:c r="B246" s="16"/>
      <x:c r="C246" s="16"/>
      <x:c r="D246" s="22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 ht="15.75" customHeight="1">
      <x:c r="A247" s="16"/>
      <x:c r="B247" s="16"/>
      <x:c r="C247" s="16"/>
      <x:c r="D247" s="22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 ht="15.75" customHeight="1">
      <x:c r="A248" s="16"/>
      <x:c r="B248" s="16"/>
      <x:c r="C248" s="16"/>
      <x:c r="D248" s="22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 ht="15.75" customHeight="1">
      <x:c r="A249" s="16"/>
      <x:c r="B249" s="16"/>
      <x:c r="C249" s="16"/>
      <x:c r="D249" s="22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 ht="15.75" customHeight="1">
      <x:c r="A250" s="16"/>
      <x:c r="B250" s="16"/>
      <x:c r="C250" s="16"/>
      <x:c r="D250" s="22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 ht="15.75" customHeight="1">
      <x:c r="A251" s="16"/>
      <x:c r="B251" s="16"/>
      <x:c r="C251" s="16"/>
      <x:c r="D251" s="22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 ht="15.75" customHeight="1">
      <x:c r="A252" s="16"/>
      <x:c r="B252" s="16"/>
      <x:c r="C252" s="16"/>
      <x:c r="D252" s="22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 ht="15.75" customHeight="1">
      <x:c r="A253" s="16"/>
      <x:c r="B253" s="16"/>
      <x:c r="C253" s="16"/>
      <x:c r="D253" s="22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 ht="15.75" customHeight="1">
      <x:c r="A254" s="16"/>
      <x:c r="B254" s="16"/>
      <x:c r="C254" s="16"/>
      <x:c r="D254" s="22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 ht="15.75" customHeight="1">
      <x:c r="A255" s="16"/>
      <x:c r="B255" s="16"/>
      <x:c r="C255" s="16"/>
      <x:c r="D255" s="22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 ht="15.75" customHeight="1">
      <x:c r="A256" s="16"/>
      <x:c r="B256" s="16"/>
      <x:c r="C256" s="16"/>
      <x:c r="D256" s="22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 ht="15.75" customHeight="1">
      <x:c r="A257" s="16"/>
      <x:c r="B257" s="16"/>
      <x:c r="C257" s="16"/>
      <x:c r="D257" s="22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 ht="15.75" customHeight="1">
      <x:c r="A258" s="16"/>
      <x:c r="B258" s="16"/>
      <x:c r="C258" s="16"/>
      <x:c r="D258" s="22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 ht="15.75" customHeight="1">
      <x:c r="A259" s="16"/>
      <x:c r="B259" s="16"/>
      <x:c r="C259" s="16"/>
      <x:c r="D259" s="22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 ht="15.75" customHeight="1">
      <x:c r="A260" s="16"/>
      <x:c r="B260" s="16"/>
      <x:c r="C260" s="16"/>
      <x:c r="D260" s="22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 ht="15.75" customHeight="1">
      <x:c r="A261" s="16"/>
      <x:c r="B261" s="16"/>
      <x:c r="C261" s="16"/>
      <x:c r="D261" s="22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 ht="15.75" customHeight="1">
      <x:c r="A262" s="16"/>
      <x:c r="B262" s="16"/>
      <x:c r="C262" s="16"/>
      <x:c r="D262" s="22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 ht="15.75" customHeight="1">
      <x:c r="A263" s="16"/>
      <x:c r="B263" s="16"/>
      <x:c r="C263" s="16"/>
      <x:c r="D263" s="22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 ht="15.75" customHeight="1">
      <x:c r="A264" s="16"/>
      <x:c r="B264" s="16"/>
      <x:c r="C264" s="16"/>
      <x:c r="D264" s="22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 ht="15.75" customHeight="1">
      <x:c r="A265" s="16"/>
      <x:c r="B265" s="16"/>
      <x:c r="C265" s="16"/>
      <x:c r="D265" s="22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 ht="15.75" customHeight="1">
      <x:c r="A266" s="16"/>
      <x:c r="B266" s="16"/>
      <x:c r="C266" s="16"/>
      <x:c r="D266" s="22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 ht="15.75" customHeight="1">
      <x:c r="A267" s="16"/>
      <x:c r="B267" s="16"/>
      <x:c r="C267" s="16"/>
      <x:c r="D267" s="22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 ht="15.75" customHeight="1">
      <x:c r="A268" s="16"/>
      <x:c r="B268" s="16"/>
      <x:c r="C268" s="16"/>
      <x:c r="D268" s="22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 ht="15.75" customHeight="1">
      <x:c r="A269" s="16"/>
      <x:c r="B269" s="16"/>
      <x:c r="C269" s="16"/>
      <x:c r="D269" s="22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 ht="15.75" customHeight="1">
      <x:c r="A270" s="16"/>
      <x:c r="B270" s="16"/>
      <x:c r="C270" s="16"/>
      <x:c r="D270" s="22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 ht="15.75" customHeight="1">
      <x:c r="A271" s="16"/>
      <x:c r="B271" s="16"/>
      <x:c r="C271" s="16"/>
      <x:c r="D271" s="22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 ht="15.75" customHeight="1">
      <x:c r="A272" s="16"/>
      <x:c r="B272" s="16"/>
      <x:c r="C272" s="16"/>
      <x:c r="D272" s="22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 ht="15.75" customHeight="1">
      <x:c r="A273" s="16"/>
      <x:c r="B273" s="16"/>
      <x:c r="C273" s="16"/>
      <x:c r="D273" s="22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 ht="15.75" customHeight="1">
      <x:c r="A274" s="16"/>
      <x:c r="B274" s="16"/>
      <x:c r="C274" s="16"/>
      <x:c r="D274" s="22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 ht="15.75" customHeight="1">
      <x:c r="A275" s="16"/>
      <x:c r="B275" s="16"/>
      <x:c r="C275" s="16"/>
      <x:c r="D275" s="22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 ht="15.75" customHeight="1">
      <x:c r="A276" s="16"/>
      <x:c r="B276" s="16"/>
      <x:c r="C276" s="16"/>
      <x:c r="D276" s="22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 ht="15.75" customHeight="1">
      <x:c r="A277" s="16"/>
      <x:c r="B277" s="16"/>
      <x:c r="C277" s="16"/>
      <x:c r="D277" s="22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 ht="15.75" customHeight="1">
      <x:c r="A278" s="16"/>
      <x:c r="B278" s="16"/>
      <x:c r="C278" s="16"/>
      <x:c r="D278" s="22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 ht="15.75" customHeight="1">
      <x:c r="A279" s="16"/>
      <x:c r="B279" s="16"/>
      <x:c r="C279" s="16"/>
      <x:c r="D279" s="22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 ht="15.75" customHeight="1">
      <x:c r="A280" s="16"/>
      <x:c r="B280" s="16"/>
      <x:c r="C280" s="16"/>
      <x:c r="D280" s="22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 ht="15.75" customHeight="1">
      <x:c r="A281" s="16"/>
      <x:c r="B281" s="16"/>
      <x:c r="C281" s="16"/>
      <x:c r="D281" s="22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 ht="15.75" customHeight="1">
      <x:c r="A282" s="16"/>
      <x:c r="B282" s="16"/>
      <x:c r="C282" s="16"/>
      <x:c r="D282" s="22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 ht="15.75" customHeight="1">
      <x:c r="A283" s="16"/>
      <x:c r="B283" s="16"/>
      <x:c r="C283" s="16"/>
      <x:c r="D283" s="22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 ht="15.75" customHeight="1">
      <x:c r="A284" s="16"/>
      <x:c r="B284" s="16"/>
      <x:c r="C284" s="16"/>
      <x:c r="D284" s="22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 ht="15.75" customHeight="1">
      <x:c r="A285" s="16"/>
      <x:c r="B285" s="16"/>
      <x:c r="C285" s="16"/>
      <x:c r="D285" s="22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 ht="15.75" customHeight="1">
      <x:c r="A286" s="16"/>
      <x:c r="B286" s="16"/>
      <x:c r="C286" s="16"/>
      <x:c r="D286" s="22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 ht="15.75" customHeight="1">
      <x:c r="A287" s="16"/>
      <x:c r="B287" s="16"/>
      <x:c r="C287" s="16"/>
      <x:c r="D287" s="22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 ht="15.75" customHeight="1">
      <x:c r="A288" s="16"/>
      <x:c r="B288" s="16"/>
      <x:c r="C288" s="16"/>
      <x:c r="D288" s="22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 ht="15.75" customHeight="1">
      <x:c r="A289" s="16"/>
      <x:c r="B289" s="16"/>
      <x:c r="C289" s="16"/>
      <x:c r="D289" s="22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 ht="15.75" customHeight="1">
      <x:c r="A290" s="16"/>
      <x:c r="B290" s="16"/>
      <x:c r="C290" s="16"/>
      <x:c r="D290" s="22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 ht="15.75" customHeight="1">
      <x:c r="A291" s="16"/>
      <x:c r="B291" s="16"/>
      <x:c r="C291" s="16"/>
      <x:c r="D291" s="22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 ht="15.75" customHeight="1">
      <x:c r="A292" s="16"/>
      <x:c r="B292" s="16"/>
      <x:c r="C292" s="16"/>
      <x:c r="D292" s="22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 ht="15.75" customHeight="1">
      <x:c r="A293" s="16"/>
      <x:c r="B293" s="16"/>
      <x:c r="C293" s="16"/>
      <x:c r="D293" s="22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 ht="15.75" customHeight="1">
      <x:c r="A294" s="16"/>
      <x:c r="B294" s="16"/>
      <x:c r="C294" s="16"/>
      <x:c r="D294" s="22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 ht="15.75" customHeight="1">
      <x:c r="A295" s="16"/>
      <x:c r="B295" s="16"/>
      <x:c r="C295" s="16"/>
      <x:c r="D295" s="22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 ht="15.75" customHeight="1">
      <x:c r="A296" s="16"/>
      <x:c r="B296" s="16"/>
      <x:c r="C296" s="16"/>
      <x:c r="D296" s="22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 ht="15.75" customHeight="1">
      <x:c r="A297" s="16"/>
      <x:c r="B297" s="16"/>
      <x:c r="C297" s="16"/>
      <x:c r="D297" s="22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 ht="15.75" customHeight="1">
      <x:c r="A298" s="16"/>
      <x:c r="B298" s="16"/>
      <x:c r="C298" s="16"/>
      <x:c r="D298" s="22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 ht="15.75" customHeight="1">
      <x:c r="A299" s="16"/>
      <x:c r="B299" s="16"/>
      <x:c r="C299" s="16"/>
      <x:c r="D299" s="22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 ht="15.75" customHeight="1">
      <x:c r="A300" s="16"/>
      <x:c r="B300" s="16"/>
      <x:c r="C300" s="16"/>
      <x:c r="D300" s="22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  <x:row r="301" ht="15.75" customHeight="1">
      <x:c r="A301" s="16"/>
      <x:c r="B301" s="16"/>
      <x:c r="C301" s="16"/>
      <x:c r="D301" s="22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/>
      <x:c r="X301" s="16"/>
      <x:c r="Y301" s="16"/>
      <x:c r="Z301" s="16"/>
    </x:row>
    <x:row r="302" ht="15.75" customHeight="1">
      <x:c r="A302" s="16"/>
      <x:c r="B302" s="16"/>
      <x:c r="C302" s="16"/>
      <x:c r="D302" s="22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6"/>
      <x:c r="Z302" s="16"/>
    </x:row>
    <x:row r="303" ht="15.75" customHeight="1">
      <x:c r="A303" s="16"/>
      <x:c r="B303" s="16"/>
      <x:c r="C303" s="16"/>
      <x:c r="D303" s="22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/>
      <x:c r="W303" s="16"/>
      <x:c r="X303" s="16"/>
      <x:c r="Y303" s="16"/>
      <x:c r="Z303" s="16"/>
    </x:row>
    <x:row r="304" ht="15.75" customHeight="1">
      <x:c r="A304" s="16"/>
      <x:c r="B304" s="16"/>
      <x:c r="C304" s="16"/>
      <x:c r="D304" s="22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6"/>
      <x:c r="Z304" s="16"/>
    </x:row>
    <x:row r="305" ht="15.75" customHeight="1">
      <x:c r="A305" s="16"/>
      <x:c r="B305" s="16"/>
      <x:c r="C305" s="16"/>
      <x:c r="D305" s="22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  <x:c r="Z305" s="16"/>
    </x:row>
    <x:row r="306" ht="15.75" customHeight="1">
      <x:c r="A306" s="16"/>
      <x:c r="B306" s="16"/>
      <x:c r="C306" s="16"/>
      <x:c r="D306" s="22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/>
      <x:c r="W306" s="16"/>
      <x:c r="X306" s="16"/>
      <x:c r="Y306" s="16"/>
      <x:c r="Z306" s="16"/>
    </x:row>
    <x:row r="307" ht="15.75" customHeight="1">
      <x:c r="A307" s="16"/>
      <x:c r="B307" s="16"/>
      <x:c r="C307" s="16"/>
      <x:c r="D307" s="22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/>
      <x:c r="X307" s="16"/>
      <x:c r="Y307" s="16"/>
      <x:c r="Z307" s="16"/>
    </x:row>
    <x:row r="308" ht="15.75" customHeight="1">
      <x:c r="A308" s="16"/>
      <x:c r="B308" s="16"/>
      <x:c r="C308" s="16"/>
      <x:c r="D308" s="22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/>
      <x:c r="W308" s="16"/>
      <x:c r="X308" s="16"/>
      <x:c r="Y308" s="16"/>
      <x:c r="Z308" s="16"/>
    </x:row>
    <x:row r="309" ht="15.75" customHeight="1">
      <x:c r="A309" s="16"/>
      <x:c r="B309" s="16"/>
      <x:c r="C309" s="16"/>
      <x:c r="D309" s="22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/>
      <x:c r="W309" s="16"/>
      <x:c r="X309" s="16"/>
      <x:c r="Y309" s="16"/>
      <x:c r="Z309" s="16"/>
    </x:row>
    <x:row r="310" ht="15.75" customHeight="1">
      <x:c r="A310" s="16"/>
      <x:c r="B310" s="16"/>
      <x:c r="C310" s="16"/>
      <x:c r="D310" s="22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6"/>
      <x:c r="Z310" s="16"/>
    </x:row>
    <x:row r="311" ht="15.75" customHeight="1">
      <x:c r="A311" s="16"/>
      <x:c r="B311" s="16"/>
      <x:c r="C311" s="16"/>
      <x:c r="D311" s="22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6"/>
      <x:c r="Z311" s="16"/>
    </x:row>
    <x:row r="312" ht="15.75" customHeight="1">
      <x:c r="A312" s="16"/>
      <x:c r="B312" s="16"/>
      <x:c r="C312" s="16"/>
      <x:c r="D312" s="22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16"/>
      <x:c r="V312" s="16"/>
      <x:c r="W312" s="16"/>
      <x:c r="X312" s="16"/>
      <x:c r="Y312" s="16"/>
      <x:c r="Z312" s="16"/>
    </x:row>
    <x:row r="313" ht="15.75" customHeight="1">
      <x:c r="A313" s="16"/>
      <x:c r="B313" s="16"/>
      <x:c r="C313" s="16"/>
      <x:c r="D313" s="22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16"/>
      <x:c r="V313" s="16"/>
      <x:c r="W313" s="16"/>
      <x:c r="X313" s="16"/>
      <x:c r="Y313" s="16"/>
      <x:c r="Z313" s="16"/>
    </x:row>
    <x:row r="314" ht="15.75" customHeight="1">
      <x:c r="A314" s="16"/>
      <x:c r="B314" s="16"/>
      <x:c r="C314" s="16"/>
      <x:c r="D314" s="22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/>
      <x:c r="W314" s="16"/>
      <x:c r="X314" s="16"/>
      <x:c r="Y314" s="16"/>
      <x:c r="Z314" s="16"/>
    </x:row>
    <x:row r="315" ht="15.75" customHeight="1">
      <x:c r="A315" s="16"/>
      <x:c r="B315" s="16"/>
      <x:c r="C315" s="16"/>
      <x:c r="D315" s="22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/>
      <x:c r="W315" s="16"/>
      <x:c r="X315" s="16"/>
      <x:c r="Y315" s="16"/>
      <x:c r="Z315" s="16"/>
    </x:row>
    <x:row r="316" ht="15.75" customHeight="1">
      <x:c r="A316" s="16"/>
      <x:c r="B316" s="16"/>
      <x:c r="C316" s="16"/>
      <x:c r="D316" s="22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16"/>
      <x:c r="V316" s="16"/>
      <x:c r="W316" s="16"/>
      <x:c r="X316" s="16"/>
      <x:c r="Y316" s="16"/>
      <x:c r="Z316" s="16"/>
    </x:row>
    <x:row r="317" ht="15.75" customHeight="1">
      <x:c r="A317" s="16"/>
      <x:c r="B317" s="16"/>
      <x:c r="C317" s="16"/>
      <x:c r="D317" s="22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16"/>
      <x:c r="V317" s="16"/>
      <x:c r="W317" s="16"/>
      <x:c r="X317" s="16"/>
      <x:c r="Y317" s="16"/>
      <x:c r="Z317" s="16"/>
    </x:row>
    <x:row r="318" ht="15.75" customHeight="1">
      <x:c r="A318" s="16"/>
      <x:c r="B318" s="16"/>
      <x:c r="C318" s="16"/>
      <x:c r="D318" s="22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16"/>
      <x:c r="V318" s="16"/>
      <x:c r="W318" s="16"/>
      <x:c r="X318" s="16"/>
      <x:c r="Y318" s="16"/>
      <x:c r="Z318" s="16"/>
    </x:row>
    <x:row r="319" ht="15.75" customHeight="1">
      <x:c r="A319" s="16"/>
      <x:c r="B319" s="16"/>
      <x:c r="C319" s="16"/>
      <x:c r="D319" s="22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16"/>
      <x:c r="V319" s="16"/>
      <x:c r="W319" s="16"/>
      <x:c r="X319" s="16"/>
      <x:c r="Y319" s="16"/>
      <x:c r="Z319" s="16"/>
    </x:row>
    <x:row r="320" ht="15.75" customHeight="1">
      <x:c r="A320" s="16"/>
      <x:c r="B320" s="16"/>
      <x:c r="C320" s="16"/>
      <x:c r="D320" s="22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16"/>
      <x:c r="V320" s="16"/>
      <x:c r="W320" s="16"/>
      <x:c r="X320" s="16"/>
      <x:c r="Y320" s="16"/>
      <x:c r="Z320" s="16"/>
    </x:row>
    <x:row r="321" ht="15.75" customHeight="1">
      <x:c r="A321" s="16"/>
      <x:c r="B321" s="16"/>
      <x:c r="C321" s="16"/>
      <x:c r="D321" s="22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16"/>
      <x:c r="V321" s="16"/>
      <x:c r="W321" s="16"/>
      <x:c r="X321" s="16"/>
      <x:c r="Y321" s="16"/>
      <x:c r="Z321" s="16"/>
    </x:row>
    <x:row r="322" ht="15.75" customHeight="1">
      <x:c r="A322" s="16"/>
      <x:c r="B322" s="16"/>
      <x:c r="C322" s="16"/>
      <x:c r="D322" s="22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6"/>
      <x:c r="Z322" s="16"/>
    </x:row>
    <x:row r="323" ht="15.75" customHeight="1">
      <x:c r="A323" s="16"/>
      <x:c r="B323" s="16"/>
      <x:c r="C323" s="16"/>
      <x:c r="D323" s="22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  <x:c r="Z323" s="16"/>
    </x:row>
    <x:row r="324" ht="15.75" customHeight="1">
      <x:c r="A324" s="16"/>
      <x:c r="B324" s="16"/>
      <x:c r="C324" s="16"/>
      <x:c r="D324" s="22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16"/>
      <x:c r="V324" s="16"/>
      <x:c r="W324" s="16"/>
      <x:c r="X324" s="16"/>
      <x:c r="Y324" s="16"/>
      <x:c r="Z324" s="16"/>
    </x:row>
    <x:row r="325" ht="15.75" customHeight="1">
      <x:c r="A325" s="16"/>
      <x:c r="B325" s="16"/>
      <x:c r="C325" s="16"/>
      <x:c r="D325" s="22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16"/>
      <x:c r="V325" s="16"/>
      <x:c r="W325" s="16"/>
      <x:c r="X325" s="16"/>
      <x:c r="Y325" s="16"/>
      <x:c r="Z325" s="16"/>
    </x:row>
    <x:row r="326" ht="15.75" customHeight="1">
      <x:c r="A326" s="16"/>
      <x:c r="B326" s="16"/>
      <x:c r="C326" s="16"/>
      <x:c r="D326" s="22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16"/>
      <x:c r="V326" s="16"/>
      <x:c r="W326" s="16"/>
      <x:c r="X326" s="16"/>
      <x:c r="Y326" s="16"/>
      <x:c r="Z326" s="16"/>
    </x:row>
    <x:row r="327" ht="15.75" customHeight="1">
      <x:c r="A327" s="16"/>
      <x:c r="B327" s="16"/>
      <x:c r="C327" s="16"/>
      <x:c r="D327" s="22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16"/>
      <x:c r="V327" s="16"/>
      <x:c r="W327" s="16"/>
      <x:c r="X327" s="16"/>
      <x:c r="Y327" s="16"/>
      <x:c r="Z327" s="16"/>
    </x:row>
    <x:row r="328" ht="15.75" customHeight="1">
      <x:c r="A328" s="16"/>
      <x:c r="B328" s="16"/>
      <x:c r="C328" s="16"/>
      <x:c r="D328" s="22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16"/>
      <x:c r="V328" s="16"/>
      <x:c r="W328" s="16"/>
      <x:c r="X328" s="16"/>
      <x:c r="Y328" s="16"/>
      <x:c r="Z328" s="16"/>
    </x:row>
    <x:row r="329" ht="15.75" customHeight="1">
      <x:c r="A329" s="16"/>
      <x:c r="B329" s="16"/>
      <x:c r="C329" s="16"/>
      <x:c r="D329" s="22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16"/>
      <x:c r="V329" s="16"/>
      <x:c r="W329" s="16"/>
      <x:c r="X329" s="16"/>
      <x:c r="Y329" s="16"/>
      <x:c r="Z329" s="16"/>
    </x:row>
    <x:row r="330" ht="15.75" customHeight="1">
      <x:c r="A330" s="16"/>
      <x:c r="B330" s="16"/>
      <x:c r="C330" s="16"/>
      <x:c r="D330" s="22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/>
      <x:c r="W330" s="16"/>
      <x:c r="X330" s="16"/>
      <x:c r="Y330" s="16"/>
      <x:c r="Z330" s="16"/>
    </x:row>
    <x:row r="331" ht="15.75" customHeight="1">
      <x:c r="A331" s="16"/>
      <x:c r="B331" s="16"/>
      <x:c r="C331" s="16"/>
      <x:c r="D331" s="22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/>
      <x:c r="X331" s="16"/>
      <x:c r="Y331" s="16"/>
      <x:c r="Z331" s="16"/>
    </x:row>
    <x:row r="332" ht="15.75" customHeight="1">
      <x:c r="A332" s="16"/>
      <x:c r="B332" s="16"/>
      <x:c r="C332" s="16"/>
      <x:c r="D332" s="22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  <x:c r="Z332" s="16"/>
    </x:row>
    <x:row r="333" ht="15.75" customHeight="1">
      <x:c r="A333" s="16"/>
      <x:c r="B333" s="16"/>
      <x:c r="C333" s="16"/>
      <x:c r="D333" s="22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/>
      <x:c r="W333" s="16"/>
      <x:c r="X333" s="16"/>
      <x:c r="Y333" s="16"/>
      <x:c r="Z333" s="16"/>
    </x:row>
    <x:row r="334" ht="15.75" customHeight="1">
      <x:c r="A334" s="16"/>
      <x:c r="B334" s="16"/>
      <x:c r="C334" s="16"/>
      <x:c r="D334" s="22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6"/>
      <x:c r="Z334" s="16"/>
    </x:row>
    <x:row r="335" ht="15.75" customHeight="1">
      <x:c r="A335" s="16"/>
      <x:c r="B335" s="16"/>
      <x:c r="C335" s="16"/>
      <x:c r="D335" s="22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16"/>
      <x:c r="V335" s="16"/>
      <x:c r="W335" s="16"/>
      <x:c r="X335" s="16"/>
      <x:c r="Y335" s="16"/>
      <x:c r="Z335" s="16"/>
    </x:row>
    <x:row r="336" ht="15.75" customHeight="1">
      <x:c r="A336" s="16"/>
      <x:c r="B336" s="16"/>
      <x:c r="C336" s="16"/>
      <x:c r="D336" s="22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16"/>
      <x:c r="V336" s="16"/>
      <x:c r="W336" s="16"/>
      <x:c r="X336" s="16"/>
      <x:c r="Y336" s="16"/>
      <x:c r="Z336" s="16"/>
    </x:row>
    <x:row r="337" ht="15.75" customHeight="1">
      <x:c r="A337" s="16"/>
      <x:c r="B337" s="16"/>
      <x:c r="C337" s="16"/>
      <x:c r="D337" s="22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/>
      <x:c r="X337" s="16"/>
      <x:c r="Y337" s="16"/>
      <x:c r="Z337" s="16"/>
    </x:row>
    <x:row r="338" ht="15.75" customHeight="1">
      <x:c r="A338" s="16"/>
      <x:c r="B338" s="16"/>
      <x:c r="C338" s="16"/>
      <x:c r="D338" s="22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/>
      <x:c r="W338" s="16"/>
      <x:c r="X338" s="16"/>
      <x:c r="Y338" s="16"/>
      <x:c r="Z338" s="16"/>
    </x:row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E1:I1"/>
    <x:mergeCell ref="J1:N1"/>
  </x:mergeCells>
  <x:conditionalFormatting sqref="E3:N3">
    <x:cfRule type="containsText" dxfId="1" priority="1" operator="containsText" text="OK">
      <x:formula>NOT(ISERROR(SEARCH(("OK"),(E3))))</x:formula>
    </x:cfRule>
  </x:conditionalFormatting>
  <x:conditionalFormatting sqref="E3:N3">
    <x:cfRule type="containsText" dxfId="0" priority="2" operator="containsText" text="ERROR">
      <x:formula>NOT(ISERROR(SEARCH(("ERROR"),(E3))))</x:formula>
    </x:cfRule>
  </x:conditionalFormatting>
  <x:pageMargins left="0.7" right="0.7" top="0.75" bottom="0.75" header="0.3" footer="0.3"/>
  <x:drawing xmlns:r="http://schemas.openxmlformats.org/officeDocument/2006/relationships" r:id="Rbda07846400e406c"/>
</x:worksheet>
</file>

<file path=xl/worksheets/sheet4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9.30999755859375" hidden="0" customWidth="1"/>
    <x:col min="3" max="3" width="38.36000061035156" hidden="0" customWidth="1"/>
    <x:col min="4" max="4" width="30.280000686645508" hidden="0" customWidth="1"/>
  </x:cols>
  <x:sheetData>
    <x:row r="1">
      <x:c r="A1" s="63" t="str">
        <x:v>Питання</x:v>
      </x:c>
      <x:c r="B1" s="64" t="str">
        <x:v>Коротка відповідь</x:v>
      </x:c>
      <x:c r="C1" s="64" t="str">
        <x:v>Ключові показники моделі</x:v>
      </x:c>
      <x:c r="D1" s="65" t="str">
        <x:v>Де дивитись у моделі</x:v>
      </x:c>
    </x:row>
    <x:row r="2">
      <x:c r="A2" s="66" t="str">
        <x:v>3.1 Що стало причиною зниження Gross Profit у 2020 році?</x:v>
      </x:c>
      <x:c r="B2" s="67" t="str">
        <x:v>Gross Profit знизився через погіршення валової маржі: COGS як % Revenue зріс з 42.0% у 2019 до 45.0% у 2020, тоді як Revenue зростав лише на 2.0%. Тобто собівартість росла швидше за виручку.</x:v>
      </x:c>
      <x:c r="C2" s="67" t="str">
        <x:v>Gross Profit: 2019 = 100,249; 2020 = 96,965; зміна = -3,284. Revenue: +3,457; COGS: +6,741.</x:v>
      </x:c>
      <x:c r="D2" s="68" t="str">
        <x:v>Practice Cash Flow_Balance: J7:N8, J24:N26</x:v>
      </x:c>
    </x:row>
    <x:row r="3">
      <x:c r="A3" s="66" t="str">
        <x:v>3.2 За рахунок чого відбулося зниження активів у 2020 та їх зростання у 2021? Пасивів?</x:v>
      </x:c>
      <x:c r="B3" s="67" t="str">
        <x:v>У 2020 активи зменшились майже повністю через падіння Cash після equity repayment на 150,000; додатково зменшився PPE через амортизацію. У 2021 активи зросли завдяки відновленню Cash від сильного operating cash flow. Пасиви/капітал у 2020 зменшилися через зниження Equity Capital на 150,000, частково компенсоване прибутком у Retained Earnings; у 2021 зростання дало накопичення прибутку та вищий Accounts Payable.</x:v>
      </x:c>
      <x:c r="C3" s="67" t="str">
        <x:v>Total Assets: 2019 = 368,955; 2020 = 245,413; 2021 = 286,888. Cash: 293,016 -&gt; 172,484 -&gt; 221,153. Equity Capital: 170,000 -&gt; 20,000 у 2020. Retained Earnings: 183,983 -&gt; 211,066 -&gt; 250,335.</x:v>
      </x:c>
      <x:c r="D3" s="68" t="str">
        <x:v>Practice Cash Flow_Balance: J41:N55, J72:N78</x:v>
      </x:c>
    </x:row>
    <x:row r="4">
      <x:c r="A4" s="69" t="str">
        <x:v>3.3 За рахунок яких чинників відбулося зниження CFO у 2020 та різке зростання у 2021?</x:v>
      </x:c>
      <x:c r="B4" s="70" t="str">
        <x:v>CFO у 2020 трохи знизився через нижчі Net Earnings та більший відтік у working capital. У 2021 CFO різко зріс через відновлення Net Earnings, зниження COGS % Revenue з 45% до 38%, а також через вивільнення working capital: Change in NWC став від’ємним, що додає до операційного cash flow.</x:v>
      </x:c>
      <x:c r="C4" s="70" t="str">
        <x:v>CFO: 2019 = 40,833; 2020 = 39,467; 2021 = 63,669. Net Earnings: 31,888 -&gt; 27,083 -&gt; 39,269. Change in NWC: 3,515 -&gt; 4,466 -&gt; -9,948.</x:v>
      </x:c>
      <x:c r="D4" s="71" t="str">
        <x:v>Practice Cash Flow_Balance: J62:N65, J85:N89</x:v>
      </x:c>
    </x:row>
  </x:sheetData>
  <x:pageMargins left="0.7" right="0.7" top="0.75" bottom="0.75" header="0.3" footer="0.3"/>
</x:worksheet>
</file>